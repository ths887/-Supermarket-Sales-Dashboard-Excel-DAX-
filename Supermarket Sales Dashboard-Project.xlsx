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338837CD-1CFB-4FC2-BD79-44487EFFAA37}" xr6:coauthVersionLast="47" xr6:coauthVersionMax="47" xr10:uidLastSave="{00000000-0000-0000-0000-000000000000}"/>
  <bookViews>
    <workbookView xWindow="-120" yWindow="-120" windowWidth="20730" windowHeight="11280" activeTab="1" xr2:uid="{0A0D8D68-EFC2-4074-BDCA-85DAF874A3F1}"/>
  </bookViews>
  <sheets>
    <sheet name="Master Data" sheetId="1" r:id="rId1"/>
    <sheet name="PIVOT TABLE" sheetId="3" r:id="rId2"/>
    <sheet name="DASHBOARD" sheetId="4" r:id="rId3"/>
    <sheet name="Input Data" sheetId="2" r:id="rId4"/>
  </sheets>
  <definedNames>
    <definedName name="_xlchart.v1.0" hidden="1">'PIVOT TABLE'!$AM$2:$AM$6</definedName>
    <definedName name="_xlchart.v1.2" hidden="1">'PIVOT TABLE'!$AM$2:$AM$6</definedName>
    <definedName name="Category">OFFSET('PIVOT TABLE'!XFA1048576,1,0,COUNT('PIVOT TABLE'!$AM:$AM))</definedName>
    <definedName name="Category1">OFFSET('PIVOT TABLE'!XFA1048576,1,0,COUNT('PIVOT TABLE'!$AM:$AM))</definedName>
    <definedName name="Category2">OFFSET('PIVOT TABLE'!XEZ1048576,1,1,COUNT('PIVOT TABLE'!$AM:$AM))</definedName>
    <definedName name="CategoryRange">OFFSET('PIVOT TABLE'!XEZ1048576,1,1,COUNT('PIVOT TABLE'!$AM:$AM))</definedName>
    <definedName name="Slicer_MONTH">#N/A</definedName>
    <definedName name="Slicer_PAYMENT_MODE">#N/A</definedName>
    <definedName name="Slicer_SALE_TYPE">#N/A</definedName>
    <definedName name="Slicer_YEAR">#N/A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31" i="2" l="1"/>
  <c r="H531" i="2"/>
  <c r="I531" i="2"/>
  <c r="J531" i="2"/>
  <c r="L531" i="2" s="1"/>
  <c r="K531" i="2"/>
  <c r="M531" i="2" s="1"/>
  <c r="N531" i="2"/>
  <c r="O531" i="2"/>
  <c r="P531" i="2"/>
  <c r="M3" i="3"/>
  <c r="N3" i="3" s="1"/>
  <c r="M4" i="3"/>
  <c r="M5" i="3"/>
  <c r="N5" i="3" s="1"/>
  <c r="M6" i="3"/>
  <c r="N6" i="3" s="1"/>
  <c r="M7" i="3"/>
  <c r="N7" i="3" s="1"/>
  <c r="M8" i="3"/>
  <c r="M9" i="3"/>
  <c r="N9" i="3" s="1"/>
  <c r="M10" i="3"/>
  <c r="N10" i="3" s="1"/>
  <c r="M11" i="3"/>
  <c r="N11" i="3" s="1"/>
  <c r="M12" i="3"/>
  <c r="M13" i="3"/>
  <c r="N13" i="3" s="1"/>
  <c r="M2" i="3"/>
  <c r="N2" i="3" s="1"/>
  <c r="L3" i="3"/>
  <c r="L4" i="3"/>
  <c r="L5" i="3"/>
  <c r="L6" i="3"/>
  <c r="L7" i="3"/>
  <c r="L8" i="3"/>
  <c r="L9" i="3"/>
  <c r="L10" i="3"/>
  <c r="L11" i="3"/>
  <c r="L12" i="3"/>
  <c r="L13" i="3"/>
  <c r="L2" i="3"/>
  <c r="G530" i="2"/>
  <c r="H530" i="2"/>
  <c r="I530" i="2"/>
  <c r="J530" i="2"/>
  <c r="L530" i="2" s="1"/>
  <c r="K530" i="2"/>
  <c r="M530" i="2" s="1"/>
  <c r="N530" i="2"/>
  <c r="O530" i="2"/>
  <c r="P530" i="2"/>
  <c r="J271" i="2"/>
  <c r="J269" i="2"/>
  <c r="L269" i="2" s="1"/>
  <c r="J249" i="2"/>
  <c r="L249" i="2" s="1"/>
  <c r="J242" i="2"/>
  <c r="L242" i="2" s="1"/>
  <c r="J67" i="2"/>
  <c r="G469" i="2"/>
  <c r="G428" i="2"/>
  <c r="G382" i="2"/>
  <c r="G332" i="2"/>
  <c r="G274" i="2"/>
  <c r="G235" i="2"/>
  <c r="G193" i="2"/>
  <c r="G145" i="2"/>
  <c r="G94" i="2"/>
  <c r="G57"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AQ2" i="3" a="1"/>
  <c r="AQ2" i="3" s="1"/>
  <c r="AO2" i="3" s="1" a="1"/>
  <c r="AO2" i="3" s="1"/>
  <c r="AQ1" i="3" s="1"/>
  <c r="AP2" i="3" a="1"/>
  <c r="AP2" i="3" s="1"/>
  <c r="AB4" i="3" a="1"/>
  <c r="AB4" i="3" s="1"/>
  <c r="Z4" i="3"/>
  <c r="K261" i="2"/>
  <c r="M261" i="2" s="1"/>
  <c r="AH1" i="3"/>
  <c r="AI1" i="3" s="1"/>
  <c r="AH3" i="3" s="1" a="1"/>
  <c r="AH3" i="3" s="1"/>
  <c r="AE4" i="3" a="1"/>
  <c r="AE4" i="3" s="1"/>
  <c r="AD4" i="3" a="1"/>
  <c r="AD4" i="3" s="1"/>
  <c r="AA4" i="3" s="1" a="1"/>
  <c r="AA4" i="3" s="1"/>
  <c r="AC4" i="3" a="1"/>
  <c r="AC4" i="3" s="1"/>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N4" i="3"/>
  <c r="N8" i="3"/>
  <c r="N12" i="3"/>
  <c r="G261" i="2"/>
  <c r="G144" i="2"/>
  <c r="H144" i="2"/>
  <c r="I144" i="2"/>
  <c r="J144" i="2"/>
  <c r="L144" i="2" s="1"/>
  <c r="K144" i="2"/>
  <c r="M144" i="2" s="1"/>
  <c r="N144" i="2"/>
  <c r="O144" i="2"/>
  <c r="P144" i="2"/>
  <c r="P261" i="2"/>
  <c r="P435" i="2"/>
  <c r="P145" i="2"/>
  <c r="P41" i="2"/>
  <c r="P404" i="2"/>
  <c r="P350" i="2"/>
  <c r="P30" i="2"/>
  <c r="P267" i="2"/>
  <c r="P426" i="2"/>
  <c r="P154" i="2"/>
  <c r="P483" i="2"/>
  <c r="P484" i="2"/>
  <c r="P511" i="2"/>
  <c r="P251" i="2"/>
  <c r="P405" i="2"/>
  <c r="P385" i="2"/>
  <c r="P223" i="2"/>
  <c r="P42" i="2"/>
  <c r="P31" i="2"/>
  <c r="P485" i="2"/>
  <c r="P386" i="2"/>
  <c r="P406" i="2"/>
  <c r="P351" i="2"/>
  <c r="P512" i="2"/>
  <c r="P70" i="2"/>
  <c r="P2" i="2"/>
  <c r="P458" i="2"/>
  <c r="P356" i="2"/>
  <c r="P43" i="2"/>
  <c r="P321" i="2"/>
  <c r="P104" i="2"/>
  <c r="P178" i="2"/>
  <c r="P243" i="2"/>
  <c r="P427" i="2"/>
  <c r="P503" i="2"/>
  <c r="P56" i="2"/>
  <c r="P504" i="2"/>
  <c r="P407" i="2"/>
  <c r="P387" i="2"/>
  <c r="P83" i="2"/>
  <c r="P252" i="2"/>
  <c r="P291" i="2"/>
  <c r="P165" i="2"/>
  <c r="P336" i="2"/>
  <c r="P146" i="2"/>
  <c r="P268" i="2"/>
  <c r="P57" i="2"/>
  <c r="P15" i="2"/>
  <c r="P357" i="2"/>
  <c r="P337" i="2"/>
  <c r="P199" i="2"/>
  <c r="P116" i="2"/>
  <c r="P234" i="2"/>
  <c r="P292" i="2"/>
  <c r="P513" i="2"/>
  <c r="P322" i="2"/>
  <c r="P269" i="2"/>
  <c r="P308" i="2"/>
  <c r="P449" i="2"/>
  <c r="P130" i="2"/>
  <c r="P486" i="2"/>
  <c r="P309" i="2"/>
  <c r="P224" i="2"/>
  <c r="P450" i="2"/>
  <c r="P16" i="2"/>
  <c r="P131" i="2"/>
  <c r="P262" i="2"/>
  <c r="P71" i="2"/>
  <c r="P323" i="2"/>
  <c r="P436" i="2"/>
  <c r="P3" i="2"/>
  <c r="P487" i="2"/>
  <c r="P105" i="2"/>
  <c r="P338" i="2"/>
  <c r="P78" i="2"/>
  <c r="P437" i="2"/>
  <c r="P488" i="2"/>
  <c r="P459" i="2"/>
  <c r="P94" i="2"/>
  <c r="P352" i="2"/>
  <c r="P58" i="2"/>
  <c r="P244" i="2"/>
  <c r="P428" i="2"/>
  <c r="P324" i="2"/>
  <c r="P293" i="2"/>
  <c r="P372" i="2"/>
  <c r="P193" i="2"/>
  <c r="P200" i="2"/>
  <c r="P438" i="2"/>
  <c r="P211" i="2"/>
  <c r="P489" i="2"/>
  <c r="P310" i="2"/>
  <c r="P339" i="2"/>
  <c r="P429" i="2"/>
  <c r="P340" i="2"/>
  <c r="P325" i="2"/>
  <c r="P201" i="2"/>
  <c r="P490" i="2"/>
  <c r="P388" i="2"/>
  <c r="P166" i="2"/>
  <c r="P155" i="2"/>
  <c r="P95" i="2"/>
  <c r="P84" i="2"/>
  <c r="P96" i="2"/>
  <c r="P202" i="2"/>
  <c r="P179" i="2"/>
  <c r="P311" i="2"/>
  <c r="P180" i="2"/>
  <c r="P408" i="2"/>
  <c r="P326" i="2"/>
  <c r="P491" i="2"/>
  <c r="P460" i="2"/>
  <c r="P253" i="2"/>
  <c r="P147" i="2"/>
  <c r="P235" i="2"/>
  <c r="P225" i="2"/>
  <c r="P226" i="2"/>
  <c r="P245" i="2"/>
  <c r="P409" i="2"/>
  <c r="P373" i="2"/>
  <c r="P312" i="2"/>
  <c r="P44" i="2"/>
  <c r="P4" i="2"/>
  <c r="P358" i="2"/>
  <c r="P468" i="2"/>
  <c r="P270" i="2"/>
  <c r="P212" i="2"/>
  <c r="P167" i="2"/>
  <c r="P451" i="2"/>
  <c r="P271" i="2"/>
  <c r="P469" i="2"/>
  <c r="P181" i="2"/>
  <c r="P182" i="2"/>
  <c r="P117" i="2"/>
  <c r="P97" i="2"/>
  <c r="P59" i="2"/>
  <c r="P236" i="2"/>
  <c r="P410" i="2"/>
  <c r="P156" i="2"/>
  <c r="P60" i="2"/>
  <c r="P106" i="2"/>
  <c r="P374" i="2"/>
  <c r="P32" i="2"/>
  <c r="P17" i="2"/>
  <c r="P470" i="2"/>
  <c r="P45" i="2"/>
  <c r="P389" i="2"/>
  <c r="P98" i="2"/>
  <c r="P213" i="2"/>
  <c r="P254" i="2"/>
  <c r="P294" i="2"/>
  <c r="P439" i="2"/>
  <c r="P505" i="2"/>
  <c r="P327" i="2"/>
  <c r="P277" i="2"/>
  <c r="P263" i="2"/>
  <c r="P417" i="2"/>
  <c r="P430" i="2"/>
  <c r="P99" i="2"/>
  <c r="P514" i="2"/>
  <c r="P5" i="2"/>
  <c r="P255" i="2"/>
  <c r="P246" i="2"/>
  <c r="P390" i="2"/>
  <c r="P313" i="2"/>
  <c r="P431" i="2"/>
  <c r="P61" i="2"/>
  <c r="P515" i="2"/>
  <c r="P72" i="2"/>
  <c r="P256" i="2"/>
  <c r="P118" i="2"/>
  <c r="P295" i="2"/>
  <c r="P33" i="2"/>
  <c r="P272" i="2"/>
  <c r="P227" i="2"/>
  <c r="P353" i="2"/>
  <c r="P314" i="2"/>
  <c r="P452" i="2"/>
  <c r="P391" i="2"/>
  <c r="P148" i="2"/>
  <c r="P6" i="2"/>
  <c r="P411" i="2"/>
  <c r="P264" i="2"/>
  <c r="P34" i="2"/>
  <c r="P471" i="2"/>
  <c r="P315" i="2"/>
  <c r="P257" i="2"/>
  <c r="P359" i="2"/>
  <c r="P214" i="2"/>
  <c r="P516" i="2"/>
  <c r="P341" i="2"/>
  <c r="P7" i="2"/>
  <c r="P278" i="2"/>
  <c r="P8" i="2"/>
  <c r="P472" i="2"/>
  <c r="P492" i="2"/>
  <c r="P493" i="2"/>
  <c r="P228" i="2"/>
  <c r="P461" i="2"/>
  <c r="P18" i="2"/>
  <c r="P203" i="2"/>
  <c r="P237" i="2"/>
  <c r="P392" i="2"/>
  <c r="P157" i="2"/>
  <c r="P73" i="2"/>
  <c r="P342" i="2"/>
  <c r="P158" i="2"/>
  <c r="P215" i="2"/>
  <c r="P412" i="2"/>
  <c r="P418" i="2"/>
  <c r="P279" i="2"/>
  <c r="P440" i="2"/>
  <c r="P360" i="2"/>
  <c r="P413" i="2"/>
  <c r="P119" i="2"/>
  <c r="P296" i="2"/>
  <c r="P9" i="2"/>
  <c r="P273" i="2"/>
  <c r="P238" i="2"/>
  <c r="P120" i="2"/>
  <c r="P265" i="2"/>
  <c r="P100" i="2"/>
  <c r="P121" i="2"/>
  <c r="P517" i="2"/>
  <c r="P46" i="2"/>
  <c r="P85" i="2"/>
  <c r="P441" i="2"/>
  <c r="P239" i="2"/>
  <c r="P149" i="2"/>
  <c r="P419" i="2"/>
  <c r="P79" i="2"/>
  <c r="P494" i="2"/>
  <c r="P462" i="2"/>
  <c r="P107" i="2"/>
  <c r="P393" i="2"/>
  <c r="P86" i="2"/>
  <c r="P159" i="2"/>
  <c r="P74" i="2"/>
  <c r="P132" i="2"/>
  <c r="P463" i="2"/>
  <c r="P453" i="2"/>
  <c r="P183" i="2"/>
  <c r="P394" i="2"/>
  <c r="P216" i="2"/>
  <c r="P47" i="2"/>
  <c r="P108" i="2"/>
  <c r="P150" i="2"/>
  <c r="P518" i="2"/>
  <c r="P495" i="2"/>
  <c r="P35" i="2"/>
  <c r="P247" i="2"/>
  <c r="P258" i="2"/>
  <c r="P328" i="2"/>
  <c r="P122" i="2"/>
  <c r="P133" i="2"/>
  <c r="P280" i="2"/>
  <c r="P496" i="2"/>
  <c r="P420" i="2"/>
  <c r="P473" i="2"/>
  <c r="P329" i="2"/>
  <c r="P330" i="2"/>
  <c r="P109" i="2"/>
  <c r="P248" i="2"/>
  <c r="P110" i="2"/>
  <c r="P168" i="2"/>
  <c r="P375" i="2"/>
  <c r="P506" i="2"/>
  <c r="P134" i="2"/>
  <c r="P331" i="2"/>
  <c r="P361" i="2"/>
  <c r="P395" i="2"/>
  <c r="P362" i="2"/>
  <c r="P217" i="2"/>
  <c r="P123" i="2"/>
  <c r="P249" i="2"/>
  <c r="P160" i="2"/>
  <c r="P464" i="2"/>
  <c r="P87" i="2"/>
  <c r="P240" i="2"/>
  <c r="P161" i="2"/>
  <c r="P10" i="2"/>
  <c r="P19" i="2"/>
  <c r="P497" i="2"/>
  <c r="P343" i="2"/>
  <c r="P194" i="2"/>
  <c r="P184" i="2"/>
  <c r="P259" i="2"/>
  <c r="P474" i="2"/>
  <c r="P62" i="2"/>
  <c r="P162" i="2"/>
  <c r="P204" i="2"/>
  <c r="P20" i="2"/>
  <c r="P63" i="2"/>
  <c r="P48" i="2"/>
  <c r="P363" i="2"/>
  <c r="P111" i="2"/>
  <c r="P281" i="2"/>
  <c r="P316" i="2"/>
  <c r="P364" i="2"/>
  <c r="P21" i="2"/>
  <c r="P135" i="2"/>
  <c r="P151" i="2"/>
  <c r="P185" i="2"/>
  <c r="P421" i="2"/>
  <c r="P136" i="2"/>
  <c r="P64" i="2"/>
  <c r="P432" i="2"/>
  <c r="P282" i="2"/>
  <c r="P49" i="2"/>
  <c r="P36" i="2"/>
  <c r="P519" i="2"/>
  <c r="P344" i="2"/>
  <c r="P50" i="2"/>
  <c r="P376" i="2"/>
  <c r="P186" i="2"/>
  <c r="P283" i="2"/>
  <c r="P218" i="2"/>
  <c r="P297" i="2"/>
  <c r="P475" i="2"/>
  <c r="P365" i="2"/>
  <c r="P11" i="2"/>
  <c r="P345" i="2"/>
  <c r="P366" i="2"/>
  <c r="P12" i="2"/>
  <c r="P22" i="2"/>
  <c r="P23" i="2"/>
  <c r="P465" i="2"/>
  <c r="P284" i="2"/>
  <c r="P454" i="2"/>
  <c r="P24" i="2"/>
  <c r="P187" i="2"/>
  <c r="P476" i="2"/>
  <c r="P205" i="2"/>
  <c r="P137" i="2"/>
  <c r="P346" i="2"/>
  <c r="P285" i="2"/>
  <c r="P520" i="2"/>
  <c r="P396" i="2"/>
  <c r="P51" i="2"/>
  <c r="P37" i="2"/>
  <c r="P298" i="2"/>
  <c r="P163" i="2"/>
  <c r="P188" i="2"/>
  <c r="P299" i="2"/>
  <c r="P397" i="2"/>
  <c r="P377" i="2"/>
  <c r="P152" i="2"/>
  <c r="P229" i="2"/>
  <c r="P398" i="2"/>
  <c r="P169" i="2"/>
  <c r="P300" i="2"/>
  <c r="P250" i="2"/>
  <c r="P195" i="2"/>
  <c r="P101" i="2"/>
  <c r="P124" i="2"/>
  <c r="P138" i="2"/>
  <c r="P88" i="2"/>
  <c r="P230" i="2"/>
  <c r="P112" i="2"/>
  <c r="P354" i="2"/>
  <c r="P301" i="2"/>
  <c r="P302" i="2"/>
  <c r="P442" i="2"/>
  <c r="P521" i="2"/>
  <c r="P170" i="2"/>
  <c r="P25" i="2"/>
  <c r="P317" i="2"/>
  <c r="P303" i="2"/>
  <c r="P477" i="2"/>
  <c r="P89" i="2"/>
  <c r="P113" i="2"/>
  <c r="P52" i="2"/>
  <c r="P231" i="2"/>
  <c r="P522" i="2"/>
  <c r="P65" i="2"/>
  <c r="P378" i="2"/>
  <c r="P90" i="2"/>
  <c r="P318" i="2"/>
  <c r="P455" i="2"/>
  <c r="P241" i="2"/>
  <c r="P286" i="2"/>
  <c r="P498" i="2"/>
  <c r="P332" i="2"/>
  <c r="P26" i="2"/>
  <c r="P196" i="2"/>
  <c r="P466" i="2"/>
  <c r="P13" i="2"/>
  <c r="P53" i="2"/>
  <c r="P206" i="2"/>
  <c r="P139" i="2"/>
  <c r="P399" i="2"/>
  <c r="P507" i="2"/>
  <c r="P379" i="2"/>
  <c r="P80" i="2"/>
  <c r="P274" i="2"/>
  <c r="P171" i="2"/>
  <c r="P478" i="2"/>
  <c r="P207" i="2"/>
  <c r="P367" i="2"/>
  <c r="P319" i="2"/>
  <c r="P275" i="2"/>
  <c r="P380" i="2"/>
  <c r="P54" i="2"/>
  <c r="P479" i="2"/>
  <c r="P114" i="2"/>
  <c r="P499" i="2"/>
  <c r="P400" i="2"/>
  <c r="P208" i="2"/>
  <c r="P75" i="2"/>
  <c r="P304" i="2"/>
  <c r="P523" i="2"/>
  <c r="P197" i="2"/>
  <c r="P38" i="2"/>
  <c r="P39" i="2"/>
  <c r="P287" i="2"/>
  <c r="P140" i="2"/>
  <c r="P189" i="2"/>
  <c r="P190" i="2"/>
  <c r="P368" i="2"/>
  <c r="P242" i="2"/>
  <c r="P347" i="2"/>
  <c r="P125" i="2"/>
  <c r="P172" i="2"/>
  <c r="P333" i="2"/>
  <c r="P115" i="2"/>
  <c r="P81" i="2"/>
  <c r="P260" i="2"/>
  <c r="P381" i="2"/>
  <c r="P191" i="2"/>
  <c r="P524" i="2"/>
  <c r="P334" i="2"/>
  <c r="P66" i="2"/>
  <c r="P219" i="2"/>
  <c r="P433" i="2"/>
  <c r="P456" i="2"/>
  <c r="P67" i="2"/>
  <c r="P457" i="2"/>
  <c r="P76" i="2"/>
  <c r="P508" i="2"/>
  <c r="P276" i="2"/>
  <c r="P173" i="2"/>
  <c r="P27" i="2"/>
  <c r="P68" i="2"/>
  <c r="P480" i="2"/>
  <c r="P40" i="2"/>
  <c r="P414" i="2"/>
  <c r="P443" i="2"/>
  <c r="P335" i="2"/>
  <c r="P434" i="2"/>
  <c r="P288" i="2"/>
  <c r="P382" i="2"/>
  <c r="P383" i="2"/>
  <c r="P14" i="2"/>
  <c r="P209" i="2"/>
  <c r="P289" i="2"/>
  <c r="P509" i="2"/>
  <c r="P141" i="2"/>
  <c r="P369" i="2"/>
  <c r="P370" i="2"/>
  <c r="P422" i="2"/>
  <c r="P525" i="2"/>
  <c r="P444" i="2"/>
  <c r="P401" i="2"/>
  <c r="P126" i="2"/>
  <c r="P82" i="2"/>
  <c r="P415" i="2"/>
  <c r="P445" i="2"/>
  <c r="P220" i="2"/>
  <c r="P526" i="2"/>
  <c r="P91" i="2"/>
  <c r="P28" i="2"/>
  <c r="P527" i="2"/>
  <c r="P174" i="2"/>
  <c r="P423" i="2"/>
  <c r="P266" i="2"/>
  <c r="P500" i="2"/>
  <c r="P446" i="2"/>
  <c r="P142" i="2"/>
  <c r="P175" i="2"/>
  <c r="P348" i="2"/>
  <c r="P416" i="2"/>
  <c r="P232" i="2"/>
  <c r="P92" i="2"/>
  <c r="P221" i="2"/>
  <c r="P510" i="2"/>
  <c r="P176" i="2"/>
  <c r="P501" i="2"/>
  <c r="P467" i="2"/>
  <c r="P424" i="2"/>
  <c r="P222" i="2"/>
  <c r="P305" i="2"/>
  <c r="P210" i="2"/>
  <c r="P306" i="2"/>
  <c r="P29" i="2"/>
  <c r="P143" i="2"/>
  <c r="P198" i="2"/>
  <c r="P402" i="2"/>
  <c r="P233" i="2"/>
  <c r="P425" i="2"/>
  <c r="P55" i="2"/>
  <c r="P371" i="2"/>
  <c r="P403" i="2"/>
  <c r="P355" i="2"/>
  <c r="P177" i="2"/>
  <c r="P320" i="2"/>
  <c r="P290" i="2"/>
  <c r="P528" i="2"/>
  <c r="P447" i="2"/>
  <c r="P192" i="2"/>
  <c r="P448" i="2"/>
  <c r="P307" i="2"/>
  <c r="P153" i="2"/>
  <c r="P164" i="2"/>
  <c r="P349" i="2"/>
  <c r="P481" i="2"/>
  <c r="P69" i="2"/>
  <c r="P102" i="2"/>
  <c r="P529" i="2"/>
  <c r="P127" i="2"/>
  <c r="P103" i="2"/>
  <c r="P77" i="2"/>
  <c r="P93" i="2"/>
  <c r="P502" i="2"/>
  <c r="P482" i="2"/>
  <c r="P384" i="2"/>
  <c r="P128" i="2"/>
  <c r="P129" i="2"/>
  <c r="O261" i="2"/>
  <c r="O435" i="2"/>
  <c r="O145" i="2"/>
  <c r="O41" i="2"/>
  <c r="O404" i="2"/>
  <c r="O350" i="2"/>
  <c r="O30" i="2"/>
  <c r="O267" i="2"/>
  <c r="O426" i="2"/>
  <c r="O154" i="2"/>
  <c r="O483" i="2"/>
  <c r="O484" i="2"/>
  <c r="O511" i="2"/>
  <c r="O251" i="2"/>
  <c r="O405" i="2"/>
  <c r="O385" i="2"/>
  <c r="O223" i="2"/>
  <c r="O42" i="2"/>
  <c r="O31" i="2"/>
  <c r="O485" i="2"/>
  <c r="O386" i="2"/>
  <c r="O406" i="2"/>
  <c r="O351" i="2"/>
  <c r="O512" i="2"/>
  <c r="O70" i="2"/>
  <c r="O2" i="2"/>
  <c r="O458" i="2"/>
  <c r="O356" i="2"/>
  <c r="O43" i="2"/>
  <c r="O321" i="2"/>
  <c r="O104" i="2"/>
  <c r="O178" i="2"/>
  <c r="O243" i="2"/>
  <c r="O427" i="2"/>
  <c r="O503" i="2"/>
  <c r="O56" i="2"/>
  <c r="O504" i="2"/>
  <c r="O407" i="2"/>
  <c r="O387" i="2"/>
  <c r="O83" i="2"/>
  <c r="O252" i="2"/>
  <c r="O291" i="2"/>
  <c r="O165" i="2"/>
  <c r="O336" i="2"/>
  <c r="O146" i="2"/>
  <c r="O268" i="2"/>
  <c r="O57" i="2"/>
  <c r="O15" i="2"/>
  <c r="O357" i="2"/>
  <c r="O337" i="2"/>
  <c r="O199" i="2"/>
  <c r="O116" i="2"/>
  <c r="O234" i="2"/>
  <c r="O292" i="2"/>
  <c r="O513" i="2"/>
  <c r="O322" i="2"/>
  <c r="O269" i="2"/>
  <c r="O308" i="2"/>
  <c r="O449" i="2"/>
  <c r="O130" i="2"/>
  <c r="O486" i="2"/>
  <c r="O309" i="2"/>
  <c r="O224" i="2"/>
  <c r="O450" i="2"/>
  <c r="O16" i="2"/>
  <c r="O131" i="2"/>
  <c r="O262" i="2"/>
  <c r="O71" i="2"/>
  <c r="O323" i="2"/>
  <c r="O436" i="2"/>
  <c r="O3" i="2"/>
  <c r="O487" i="2"/>
  <c r="O105" i="2"/>
  <c r="O338" i="2"/>
  <c r="O78" i="2"/>
  <c r="O437" i="2"/>
  <c r="O488" i="2"/>
  <c r="O459" i="2"/>
  <c r="O94" i="2"/>
  <c r="O352" i="2"/>
  <c r="O58" i="2"/>
  <c r="O244" i="2"/>
  <c r="O428" i="2"/>
  <c r="O324" i="2"/>
  <c r="O293" i="2"/>
  <c r="O372" i="2"/>
  <c r="O193" i="2"/>
  <c r="O200" i="2"/>
  <c r="O438" i="2"/>
  <c r="O211" i="2"/>
  <c r="O489" i="2"/>
  <c r="O310" i="2"/>
  <c r="O339" i="2"/>
  <c r="O429" i="2"/>
  <c r="O340" i="2"/>
  <c r="O325" i="2"/>
  <c r="O201" i="2"/>
  <c r="O490" i="2"/>
  <c r="O388" i="2"/>
  <c r="O166" i="2"/>
  <c r="O155" i="2"/>
  <c r="O95" i="2"/>
  <c r="O84" i="2"/>
  <c r="O96" i="2"/>
  <c r="O202" i="2"/>
  <c r="O179" i="2"/>
  <c r="O311" i="2"/>
  <c r="O180" i="2"/>
  <c r="O408" i="2"/>
  <c r="O326" i="2"/>
  <c r="O491" i="2"/>
  <c r="O460" i="2"/>
  <c r="O253" i="2"/>
  <c r="O147" i="2"/>
  <c r="O235" i="2"/>
  <c r="O225" i="2"/>
  <c r="O226" i="2"/>
  <c r="O245" i="2"/>
  <c r="O409" i="2"/>
  <c r="O373" i="2"/>
  <c r="O312" i="2"/>
  <c r="O44" i="2"/>
  <c r="O4" i="2"/>
  <c r="O358" i="2"/>
  <c r="O468" i="2"/>
  <c r="O270" i="2"/>
  <c r="O212" i="2"/>
  <c r="O167" i="2"/>
  <c r="O451" i="2"/>
  <c r="O271" i="2"/>
  <c r="O469" i="2"/>
  <c r="O181" i="2"/>
  <c r="O182" i="2"/>
  <c r="O117" i="2"/>
  <c r="O97" i="2"/>
  <c r="O59" i="2"/>
  <c r="O236" i="2"/>
  <c r="O410" i="2"/>
  <c r="O156" i="2"/>
  <c r="O60" i="2"/>
  <c r="O106" i="2"/>
  <c r="O374" i="2"/>
  <c r="O32" i="2"/>
  <c r="O17" i="2"/>
  <c r="O470" i="2"/>
  <c r="O45" i="2"/>
  <c r="O389" i="2"/>
  <c r="O98" i="2"/>
  <c r="O213" i="2"/>
  <c r="O254" i="2"/>
  <c r="O294" i="2"/>
  <c r="O439" i="2"/>
  <c r="O505" i="2"/>
  <c r="O327" i="2"/>
  <c r="O277" i="2"/>
  <c r="O263" i="2"/>
  <c r="O417" i="2"/>
  <c r="O430" i="2"/>
  <c r="O99" i="2"/>
  <c r="O514" i="2"/>
  <c r="O5" i="2"/>
  <c r="O255" i="2"/>
  <c r="O246" i="2"/>
  <c r="O390" i="2"/>
  <c r="O313" i="2"/>
  <c r="O431" i="2"/>
  <c r="O61" i="2"/>
  <c r="O515" i="2"/>
  <c r="O72" i="2"/>
  <c r="O256" i="2"/>
  <c r="O118" i="2"/>
  <c r="O295" i="2"/>
  <c r="O33" i="2"/>
  <c r="O272" i="2"/>
  <c r="O227" i="2"/>
  <c r="O353" i="2"/>
  <c r="O314" i="2"/>
  <c r="O452" i="2"/>
  <c r="O391" i="2"/>
  <c r="O148" i="2"/>
  <c r="O6" i="2"/>
  <c r="O411" i="2"/>
  <c r="O264" i="2"/>
  <c r="O34" i="2"/>
  <c r="O471" i="2"/>
  <c r="O315" i="2"/>
  <c r="O257" i="2"/>
  <c r="O359" i="2"/>
  <c r="O214" i="2"/>
  <c r="O516" i="2"/>
  <c r="O341" i="2"/>
  <c r="O7" i="2"/>
  <c r="O278" i="2"/>
  <c r="O8" i="2"/>
  <c r="O472" i="2"/>
  <c r="O492" i="2"/>
  <c r="O493" i="2"/>
  <c r="O228" i="2"/>
  <c r="O461" i="2"/>
  <c r="O18" i="2"/>
  <c r="O203" i="2"/>
  <c r="O237" i="2"/>
  <c r="O392" i="2"/>
  <c r="O157" i="2"/>
  <c r="O73" i="2"/>
  <c r="O342" i="2"/>
  <c r="O158" i="2"/>
  <c r="O215" i="2"/>
  <c r="O412" i="2"/>
  <c r="O418" i="2"/>
  <c r="O279" i="2"/>
  <c r="O440" i="2"/>
  <c r="O360" i="2"/>
  <c r="O413" i="2"/>
  <c r="O119" i="2"/>
  <c r="O296" i="2"/>
  <c r="O9" i="2"/>
  <c r="O273" i="2"/>
  <c r="O238" i="2"/>
  <c r="O120" i="2"/>
  <c r="O265" i="2"/>
  <c r="O100" i="2"/>
  <c r="O121" i="2"/>
  <c r="O517" i="2"/>
  <c r="O46" i="2"/>
  <c r="O85" i="2"/>
  <c r="O441" i="2"/>
  <c r="O239" i="2"/>
  <c r="O149" i="2"/>
  <c r="O419" i="2"/>
  <c r="O79" i="2"/>
  <c r="O494" i="2"/>
  <c r="O462" i="2"/>
  <c r="O107" i="2"/>
  <c r="O393" i="2"/>
  <c r="O86" i="2"/>
  <c r="O159" i="2"/>
  <c r="O74" i="2"/>
  <c r="O132" i="2"/>
  <c r="O463" i="2"/>
  <c r="O453" i="2"/>
  <c r="O183" i="2"/>
  <c r="O394" i="2"/>
  <c r="O216" i="2"/>
  <c r="O47" i="2"/>
  <c r="O108" i="2"/>
  <c r="O150" i="2"/>
  <c r="O518" i="2"/>
  <c r="O495" i="2"/>
  <c r="O35" i="2"/>
  <c r="O247" i="2"/>
  <c r="O258" i="2"/>
  <c r="O328" i="2"/>
  <c r="O122" i="2"/>
  <c r="O133" i="2"/>
  <c r="O280" i="2"/>
  <c r="O496" i="2"/>
  <c r="O420" i="2"/>
  <c r="O473" i="2"/>
  <c r="O329" i="2"/>
  <c r="O330" i="2"/>
  <c r="O109" i="2"/>
  <c r="O248" i="2"/>
  <c r="O110" i="2"/>
  <c r="O168" i="2"/>
  <c r="O375" i="2"/>
  <c r="O506" i="2"/>
  <c r="O134" i="2"/>
  <c r="O331" i="2"/>
  <c r="O361" i="2"/>
  <c r="O395" i="2"/>
  <c r="O362" i="2"/>
  <c r="O217" i="2"/>
  <c r="O123" i="2"/>
  <c r="O249" i="2"/>
  <c r="O160" i="2"/>
  <c r="O464" i="2"/>
  <c r="O87" i="2"/>
  <c r="O240" i="2"/>
  <c r="O161" i="2"/>
  <c r="O10" i="2"/>
  <c r="O19" i="2"/>
  <c r="O497" i="2"/>
  <c r="O343" i="2"/>
  <c r="O194" i="2"/>
  <c r="O184" i="2"/>
  <c r="O259" i="2"/>
  <c r="O474" i="2"/>
  <c r="O62" i="2"/>
  <c r="O162" i="2"/>
  <c r="O204" i="2"/>
  <c r="O20" i="2"/>
  <c r="O63" i="2"/>
  <c r="O48" i="2"/>
  <c r="O363" i="2"/>
  <c r="O111" i="2"/>
  <c r="O281" i="2"/>
  <c r="O316" i="2"/>
  <c r="O364" i="2"/>
  <c r="O21" i="2"/>
  <c r="O135" i="2"/>
  <c r="O151" i="2"/>
  <c r="O185" i="2"/>
  <c r="O421" i="2"/>
  <c r="O136" i="2"/>
  <c r="O64" i="2"/>
  <c r="O432" i="2"/>
  <c r="O282" i="2"/>
  <c r="O49" i="2"/>
  <c r="O36" i="2"/>
  <c r="O519" i="2"/>
  <c r="O344" i="2"/>
  <c r="O50" i="2"/>
  <c r="O376" i="2"/>
  <c r="O186" i="2"/>
  <c r="O283" i="2"/>
  <c r="O218" i="2"/>
  <c r="O297" i="2"/>
  <c r="O475" i="2"/>
  <c r="O365" i="2"/>
  <c r="O11" i="2"/>
  <c r="O345" i="2"/>
  <c r="O366" i="2"/>
  <c r="O12" i="2"/>
  <c r="O22" i="2"/>
  <c r="O23" i="2"/>
  <c r="O465" i="2"/>
  <c r="O284" i="2"/>
  <c r="O454" i="2"/>
  <c r="O24" i="2"/>
  <c r="O187" i="2"/>
  <c r="O476" i="2"/>
  <c r="O205" i="2"/>
  <c r="O137" i="2"/>
  <c r="O346" i="2"/>
  <c r="O285" i="2"/>
  <c r="O520" i="2"/>
  <c r="O396" i="2"/>
  <c r="O51" i="2"/>
  <c r="O37" i="2"/>
  <c r="O298" i="2"/>
  <c r="O163" i="2"/>
  <c r="O188" i="2"/>
  <c r="O299" i="2"/>
  <c r="O397" i="2"/>
  <c r="O377" i="2"/>
  <c r="O152" i="2"/>
  <c r="O229" i="2"/>
  <c r="O398" i="2"/>
  <c r="O169" i="2"/>
  <c r="O300" i="2"/>
  <c r="O250" i="2"/>
  <c r="O195" i="2"/>
  <c r="O101" i="2"/>
  <c r="O124" i="2"/>
  <c r="O138" i="2"/>
  <c r="O88" i="2"/>
  <c r="O230" i="2"/>
  <c r="O112" i="2"/>
  <c r="O354" i="2"/>
  <c r="O301" i="2"/>
  <c r="O302" i="2"/>
  <c r="O442" i="2"/>
  <c r="O521" i="2"/>
  <c r="O170" i="2"/>
  <c r="O25" i="2"/>
  <c r="O317" i="2"/>
  <c r="O303" i="2"/>
  <c r="O477" i="2"/>
  <c r="O89" i="2"/>
  <c r="O113" i="2"/>
  <c r="O52" i="2"/>
  <c r="O231" i="2"/>
  <c r="O522" i="2"/>
  <c r="O65" i="2"/>
  <c r="O378" i="2"/>
  <c r="O90" i="2"/>
  <c r="O318" i="2"/>
  <c r="O455" i="2"/>
  <c r="O241" i="2"/>
  <c r="O286" i="2"/>
  <c r="O498" i="2"/>
  <c r="O332" i="2"/>
  <c r="O26" i="2"/>
  <c r="O196" i="2"/>
  <c r="O466" i="2"/>
  <c r="O13" i="2"/>
  <c r="O53" i="2"/>
  <c r="O206" i="2"/>
  <c r="O139" i="2"/>
  <c r="O399" i="2"/>
  <c r="O507" i="2"/>
  <c r="O379" i="2"/>
  <c r="O80" i="2"/>
  <c r="O274" i="2"/>
  <c r="O171" i="2"/>
  <c r="O478" i="2"/>
  <c r="O207" i="2"/>
  <c r="O367" i="2"/>
  <c r="O319" i="2"/>
  <c r="O275" i="2"/>
  <c r="O380" i="2"/>
  <c r="O54" i="2"/>
  <c r="O479" i="2"/>
  <c r="O114" i="2"/>
  <c r="O499" i="2"/>
  <c r="O400" i="2"/>
  <c r="O208" i="2"/>
  <c r="O75" i="2"/>
  <c r="O304" i="2"/>
  <c r="O523" i="2"/>
  <c r="O197" i="2"/>
  <c r="O38" i="2"/>
  <c r="O39" i="2"/>
  <c r="O287" i="2"/>
  <c r="O140" i="2"/>
  <c r="O189" i="2"/>
  <c r="O190" i="2"/>
  <c r="O368" i="2"/>
  <c r="O242" i="2"/>
  <c r="O347" i="2"/>
  <c r="O125" i="2"/>
  <c r="O172" i="2"/>
  <c r="O333" i="2"/>
  <c r="O115" i="2"/>
  <c r="O81" i="2"/>
  <c r="O260" i="2"/>
  <c r="O381" i="2"/>
  <c r="O191" i="2"/>
  <c r="O524" i="2"/>
  <c r="O334" i="2"/>
  <c r="O66" i="2"/>
  <c r="O219" i="2"/>
  <c r="O433" i="2"/>
  <c r="O456" i="2"/>
  <c r="O67" i="2"/>
  <c r="O457" i="2"/>
  <c r="O76" i="2"/>
  <c r="O508" i="2"/>
  <c r="O276" i="2"/>
  <c r="O173" i="2"/>
  <c r="O27" i="2"/>
  <c r="O68" i="2"/>
  <c r="O480" i="2"/>
  <c r="O40" i="2"/>
  <c r="O414" i="2"/>
  <c r="O443" i="2"/>
  <c r="O335" i="2"/>
  <c r="O434" i="2"/>
  <c r="O288" i="2"/>
  <c r="O382" i="2"/>
  <c r="O383" i="2"/>
  <c r="O14" i="2"/>
  <c r="O209" i="2"/>
  <c r="O289" i="2"/>
  <c r="O509" i="2"/>
  <c r="O141" i="2"/>
  <c r="O369" i="2"/>
  <c r="O370" i="2"/>
  <c r="O422" i="2"/>
  <c r="O525" i="2"/>
  <c r="O444" i="2"/>
  <c r="O401" i="2"/>
  <c r="O126" i="2"/>
  <c r="O82" i="2"/>
  <c r="O415" i="2"/>
  <c r="O445" i="2"/>
  <c r="O220" i="2"/>
  <c r="O526" i="2"/>
  <c r="O91" i="2"/>
  <c r="O28" i="2"/>
  <c r="O527" i="2"/>
  <c r="O174" i="2"/>
  <c r="O423" i="2"/>
  <c r="O266" i="2"/>
  <c r="O500" i="2"/>
  <c r="O446" i="2"/>
  <c r="O142" i="2"/>
  <c r="O175" i="2"/>
  <c r="O348" i="2"/>
  <c r="O416" i="2"/>
  <c r="O232" i="2"/>
  <c r="O92" i="2"/>
  <c r="O221" i="2"/>
  <c r="O510" i="2"/>
  <c r="O176" i="2"/>
  <c r="O501" i="2"/>
  <c r="O467" i="2"/>
  <c r="O424" i="2"/>
  <c r="O222" i="2"/>
  <c r="O305" i="2"/>
  <c r="O210" i="2"/>
  <c r="O306" i="2"/>
  <c r="O29" i="2"/>
  <c r="O143" i="2"/>
  <c r="O198" i="2"/>
  <c r="O402" i="2"/>
  <c r="O233" i="2"/>
  <c r="O425" i="2"/>
  <c r="O55" i="2"/>
  <c r="O371" i="2"/>
  <c r="O403" i="2"/>
  <c r="O355" i="2"/>
  <c r="O177" i="2"/>
  <c r="O320" i="2"/>
  <c r="O290" i="2"/>
  <c r="O528" i="2"/>
  <c r="O447" i="2"/>
  <c r="O192" i="2"/>
  <c r="O448" i="2"/>
  <c r="O307" i="2"/>
  <c r="O153" i="2"/>
  <c r="O164" i="2"/>
  <c r="O349" i="2"/>
  <c r="O481" i="2"/>
  <c r="O69" i="2"/>
  <c r="O102" i="2"/>
  <c r="O529" i="2"/>
  <c r="O127" i="2"/>
  <c r="O103" i="2"/>
  <c r="O77" i="2"/>
  <c r="O93" i="2"/>
  <c r="O502" i="2"/>
  <c r="O482" i="2"/>
  <c r="O384" i="2"/>
  <c r="O128" i="2"/>
  <c r="O129" i="2"/>
  <c r="N261" i="2"/>
  <c r="N435" i="2"/>
  <c r="N145" i="2"/>
  <c r="N41" i="2"/>
  <c r="N404" i="2"/>
  <c r="N350" i="2"/>
  <c r="N30" i="2"/>
  <c r="N267" i="2"/>
  <c r="N426" i="2"/>
  <c r="N154" i="2"/>
  <c r="N483" i="2"/>
  <c r="N484" i="2"/>
  <c r="N511" i="2"/>
  <c r="N251" i="2"/>
  <c r="N405" i="2"/>
  <c r="N385" i="2"/>
  <c r="N223" i="2"/>
  <c r="N42" i="2"/>
  <c r="N31" i="2"/>
  <c r="N485" i="2"/>
  <c r="N386" i="2"/>
  <c r="N406" i="2"/>
  <c r="N351" i="2"/>
  <c r="N512" i="2"/>
  <c r="N70" i="2"/>
  <c r="N2" i="2"/>
  <c r="N458" i="2"/>
  <c r="N356" i="2"/>
  <c r="N43" i="2"/>
  <c r="N321" i="2"/>
  <c r="N104" i="2"/>
  <c r="N178" i="2"/>
  <c r="N243" i="2"/>
  <c r="N427" i="2"/>
  <c r="N503" i="2"/>
  <c r="N56" i="2"/>
  <c r="N504" i="2"/>
  <c r="N407" i="2"/>
  <c r="N387" i="2"/>
  <c r="N83" i="2"/>
  <c r="N252" i="2"/>
  <c r="N291" i="2"/>
  <c r="N165" i="2"/>
  <c r="N336" i="2"/>
  <c r="N146" i="2"/>
  <c r="N268" i="2"/>
  <c r="N57" i="2"/>
  <c r="N15" i="2"/>
  <c r="N357" i="2"/>
  <c r="N337" i="2"/>
  <c r="N199" i="2"/>
  <c r="N116" i="2"/>
  <c r="N234" i="2"/>
  <c r="N292" i="2"/>
  <c r="N513" i="2"/>
  <c r="N322" i="2"/>
  <c r="N269" i="2"/>
  <c r="N308" i="2"/>
  <c r="N449" i="2"/>
  <c r="N130" i="2"/>
  <c r="N486" i="2"/>
  <c r="N309" i="2"/>
  <c r="N224" i="2"/>
  <c r="N450" i="2"/>
  <c r="N16" i="2"/>
  <c r="N131" i="2"/>
  <c r="N262" i="2"/>
  <c r="N71" i="2"/>
  <c r="N323" i="2"/>
  <c r="N436" i="2"/>
  <c r="N3" i="2"/>
  <c r="N487" i="2"/>
  <c r="N105" i="2"/>
  <c r="N338" i="2"/>
  <c r="N78" i="2"/>
  <c r="N437" i="2"/>
  <c r="N488" i="2"/>
  <c r="N459" i="2"/>
  <c r="N94" i="2"/>
  <c r="N352" i="2"/>
  <c r="N58" i="2"/>
  <c r="N244" i="2"/>
  <c r="N428" i="2"/>
  <c r="N324" i="2"/>
  <c r="N293" i="2"/>
  <c r="N372" i="2"/>
  <c r="N193" i="2"/>
  <c r="N200" i="2"/>
  <c r="N438" i="2"/>
  <c r="N211" i="2"/>
  <c r="N489" i="2"/>
  <c r="N310" i="2"/>
  <c r="N339" i="2"/>
  <c r="N429" i="2"/>
  <c r="N340" i="2"/>
  <c r="N325" i="2"/>
  <c r="N201" i="2"/>
  <c r="N490" i="2"/>
  <c r="N388" i="2"/>
  <c r="N166" i="2"/>
  <c r="N155" i="2"/>
  <c r="N95" i="2"/>
  <c r="N84" i="2"/>
  <c r="N96" i="2"/>
  <c r="N202" i="2"/>
  <c r="N179" i="2"/>
  <c r="N311" i="2"/>
  <c r="N180" i="2"/>
  <c r="N408" i="2"/>
  <c r="N326" i="2"/>
  <c r="N491" i="2"/>
  <c r="N460" i="2"/>
  <c r="N253" i="2"/>
  <c r="N147" i="2"/>
  <c r="N235" i="2"/>
  <c r="N225" i="2"/>
  <c r="N226" i="2"/>
  <c r="N245" i="2"/>
  <c r="N409" i="2"/>
  <c r="N373" i="2"/>
  <c r="N312" i="2"/>
  <c r="N44" i="2"/>
  <c r="N4" i="2"/>
  <c r="N358" i="2"/>
  <c r="N468" i="2"/>
  <c r="N270" i="2"/>
  <c r="N212" i="2"/>
  <c r="N167" i="2"/>
  <c r="N451" i="2"/>
  <c r="N271" i="2"/>
  <c r="N469" i="2"/>
  <c r="N181" i="2"/>
  <c r="N182" i="2"/>
  <c r="N117" i="2"/>
  <c r="N97" i="2"/>
  <c r="N59" i="2"/>
  <c r="N236" i="2"/>
  <c r="N410" i="2"/>
  <c r="N156" i="2"/>
  <c r="N60" i="2"/>
  <c r="N106" i="2"/>
  <c r="N374" i="2"/>
  <c r="N32" i="2"/>
  <c r="N17" i="2"/>
  <c r="N470" i="2"/>
  <c r="N45" i="2"/>
  <c r="N389" i="2"/>
  <c r="N98" i="2"/>
  <c r="N213" i="2"/>
  <c r="N254" i="2"/>
  <c r="N294" i="2"/>
  <c r="N439" i="2"/>
  <c r="N505" i="2"/>
  <c r="N327" i="2"/>
  <c r="N277" i="2"/>
  <c r="N263" i="2"/>
  <c r="N417" i="2"/>
  <c r="N430" i="2"/>
  <c r="N99" i="2"/>
  <c r="N514" i="2"/>
  <c r="N5" i="2"/>
  <c r="N255" i="2"/>
  <c r="N246" i="2"/>
  <c r="N390" i="2"/>
  <c r="N313" i="2"/>
  <c r="N431" i="2"/>
  <c r="N61" i="2"/>
  <c r="N515" i="2"/>
  <c r="N72" i="2"/>
  <c r="N256" i="2"/>
  <c r="N118" i="2"/>
  <c r="N295" i="2"/>
  <c r="N33" i="2"/>
  <c r="N272" i="2"/>
  <c r="N227" i="2"/>
  <c r="N353" i="2"/>
  <c r="N314" i="2"/>
  <c r="N452" i="2"/>
  <c r="N391" i="2"/>
  <c r="N148" i="2"/>
  <c r="N6" i="2"/>
  <c r="N411" i="2"/>
  <c r="N264" i="2"/>
  <c r="N34" i="2"/>
  <c r="N471" i="2"/>
  <c r="N315" i="2"/>
  <c r="N257" i="2"/>
  <c r="N359" i="2"/>
  <c r="N214" i="2"/>
  <c r="N516" i="2"/>
  <c r="N341" i="2"/>
  <c r="N7" i="2"/>
  <c r="N278" i="2"/>
  <c r="N8" i="2"/>
  <c r="N472" i="2"/>
  <c r="N492" i="2"/>
  <c r="N493" i="2"/>
  <c r="N228" i="2"/>
  <c r="N461" i="2"/>
  <c r="N18" i="2"/>
  <c r="N203" i="2"/>
  <c r="N237" i="2"/>
  <c r="N392" i="2"/>
  <c r="N157" i="2"/>
  <c r="N73" i="2"/>
  <c r="N342" i="2"/>
  <c r="N158" i="2"/>
  <c r="N215" i="2"/>
  <c r="N412" i="2"/>
  <c r="N418" i="2"/>
  <c r="N279" i="2"/>
  <c r="N440" i="2"/>
  <c r="N360" i="2"/>
  <c r="N413" i="2"/>
  <c r="N119" i="2"/>
  <c r="N296" i="2"/>
  <c r="N9" i="2"/>
  <c r="N273" i="2"/>
  <c r="N238" i="2"/>
  <c r="N120" i="2"/>
  <c r="N265" i="2"/>
  <c r="N100" i="2"/>
  <c r="N121" i="2"/>
  <c r="N517" i="2"/>
  <c r="N46" i="2"/>
  <c r="N85" i="2"/>
  <c r="N441" i="2"/>
  <c r="N239" i="2"/>
  <c r="N149" i="2"/>
  <c r="N419" i="2"/>
  <c r="N79" i="2"/>
  <c r="N494" i="2"/>
  <c r="N462" i="2"/>
  <c r="N107" i="2"/>
  <c r="N393" i="2"/>
  <c r="N86" i="2"/>
  <c r="N159" i="2"/>
  <c r="N74" i="2"/>
  <c r="N132" i="2"/>
  <c r="N463" i="2"/>
  <c r="N453" i="2"/>
  <c r="N183" i="2"/>
  <c r="N394" i="2"/>
  <c r="N216" i="2"/>
  <c r="N47" i="2"/>
  <c r="N108" i="2"/>
  <c r="N150" i="2"/>
  <c r="N518" i="2"/>
  <c r="N495" i="2"/>
  <c r="N35" i="2"/>
  <c r="N247" i="2"/>
  <c r="N258" i="2"/>
  <c r="N328" i="2"/>
  <c r="N122" i="2"/>
  <c r="N133" i="2"/>
  <c r="N280" i="2"/>
  <c r="N496" i="2"/>
  <c r="N420" i="2"/>
  <c r="N473" i="2"/>
  <c r="N329" i="2"/>
  <c r="N330" i="2"/>
  <c r="N109" i="2"/>
  <c r="N248" i="2"/>
  <c r="N110" i="2"/>
  <c r="N168" i="2"/>
  <c r="N375" i="2"/>
  <c r="N506" i="2"/>
  <c r="N134" i="2"/>
  <c r="N331" i="2"/>
  <c r="N361" i="2"/>
  <c r="N395" i="2"/>
  <c r="N362" i="2"/>
  <c r="N217" i="2"/>
  <c r="N123" i="2"/>
  <c r="N249" i="2"/>
  <c r="N160" i="2"/>
  <c r="N464" i="2"/>
  <c r="N87" i="2"/>
  <c r="N240" i="2"/>
  <c r="N161" i="2"/>
  <c r="N10" i="2"/>
  <c r="N19" i="2"/>
  <c r="N497" i="2"/>
  <c r="N343" i="2"/>
  <c r="N194" i="2"/>
  <c r="N184" i="2"/>
  <c r="N259" i="2"/>
  <c r="N474" i="2"/>
  <c r="N62" i="2"/>
  <c r="N162" i="2"/>
  <c r="N204" i="2"/>
  <c r="N20" i="2"/>
  <c r="N63" i="2"/>
  <c r="N48" i="2"/>
  <c r="N363" i="2"/>
  <c r="N111" i="2"/>
  <c r="N281" i="2"/>
  <c r="N316" i="2"/>
  <c r="N364" i="2"/>
  <c r="N21" i="2"/>
  <c r="N135" i="2"/>
  <c r="N151" i="2"/>
  <c r="N185" i="2"/>
  <c r="N421" i="2"/>
  <c r="N136" i="2"/>
  <c r="N64" i="2"/>
  <c r="N432" i="2"/>
  <c r="N282" i="2"/>
  <c r="N49" i="2"/>
  <c r="N36" i="2"/>
  <c r="N519" i="2"/>
  <c r="N344" i="2"/>
  <c r="N50" i="2"/>
  <c r="N376" i="2"/>
  <c r="N186" i="2"/>
  <c r="N283" i="2"/>
  <c r="N218" i="2"/>
  <c r="N297" i="2"/>
  <c r="N475" i="2"/>
  <c r="N365" i="2"/>
  <c r="N11" i="2"/>
  <c r="N345" i="2"/>
  <c r="N366" i="2"/>
  <c r="N12" i="2"/>
  <c r="N22" i="2"/>
  <c r="N23" i="2"/>
  <c r="N465" i="2"/>
  <c r="N284" i="2"/>
  <c r="N454" i="2"/>
  <c r="N24" i="2"/>
  <c r="N187" i="2"/>
  <c r="N476" i="2"/>
  <c r="N205" i="2"/>
  <c r="N137" i="2"/>
  <c r="N346" i="2"/>
  <c r="N285" i="2"/>
  <c r="N520" i="2"/>
  <c r="N396" i="2"/>
  <c r="N51" i="2"/>
  <c r="N37" i="2"/>
  <c r="N298" i="2"/>
  <c r="N163" i="2"/>
  <c r="N188" i="2"/>
  <c r="N299" i="2"/>
  <c r="N397" i="2"/>
  <c r="N377" i="2"/>
  <c r="N152" i="2"/>
  <c r="N229" i="2"/>
  <c r="N398" i="2"/>
  <c r="N169" i="2"/>
  <c r="N300" i="2"/>
  <c r="N250" i="2"/>
  <c r="N195" i="2"/>
  <c r="N101" i="2"/>
  <c r="N124" i="2"/>
  <c r="N138" i="2"/>
  <c r="N88" i="2"/>
  <c r="N230" i="2"/>
  <c r="N112" i="2"/>
  <c r="N354" i="2"/>
  <c r="N301" i="2"/>
  <c r="N302" i="2"/>
  <c r="N442" i="2"/>
  <c r="N521" i="2"/>
  <c r="N170" i="2"/>
  <c r="N25" i="2"/>
  <c r="N317" i="2"/>
  <c r="N303" i="2"/>
  <c r="N477" i="2"/>
  <c r="N89" i="2"/>
  <c r="N113" i="2"/>
  <c r="N52" i="2"/>
  <c r="N231" i="2"/>
  <c r="N522" i="2"/>
  <c r="N65" i="2"/>
  <c r="N378" i="2"/>
  <c r="N90" i="2"/>
  <c r="N318" i="2"/>
  <c r="N455" i="2"/>
  <c r="N241" i="2"/>
  <c r="N286" i="2"/>
  <c r="N498" i="2"/>
  <c r="N332" i="2"/>
  <c r="N26" i="2"/>
  <c r="N196" i="2"/>
  <c r="N466" i="2"/>
  <c r="N13" i="2"/>
  <c r="N53" i="2"/>
  <c r="N206" i="2"/>
  <c r="N139" i="2"/>
  <c r="N399" i="2"/>
  <c r="N507" i="2"/>
  <c r="N379" i="2"/>
  <c r="N80" i="2"/>
  <c r="N274" i="2"/>
  <c r="N171" i="2"/>
  <c r="N478" i="2"/>
  <c r="N207" i="2"/>
  <c r="N367" i="2"/>
  <c r="N319" i="2"/>
  <c r="N275" i="2"/>
  <c r="N380" i="2"/>
  <c r="N54" i="2"/>
  <c r="N479" i="2"/>
  <c r="N114" i="2"/>
  <c r="N499" i="2"/>
  <c r="N400" i="2"/>
  <c r="N208" i="2"/>
  <c r="N75" i="2"/>
  <c r="N304" i="2"/>
  <c r="N523" i="2"/>
  <c r="N197" i="2"/>
  <c r="N38" i="2"/>
  <c r="N39" i="2"/>
  <c r="N287" i="2"/>
  <c r="N140" i="2"/>
  <c r="N189" i="2"/>
  <c r="N190" i="2"/>
  <c r="N368" i="2"/>
  <c r="N242" i="2"/>
  <c r="N347" i="2"/>
  <c r="N125" i="2"/>
  <c r="N172" i="2"/>
  <c r="N333" i="2"/>
  <c r="N115" i="2"/>
  <c r="N81" i="2"/>
  <c r="N260" i="2"/>
  <c r="N381" i="2"/>
  <c r="N191" i="2"/>
  <c r="N524" i="2"/>
  <c r="N334" i="2"/>
  <c r="N66" i="2"/>
  <c r="N219" i="2"/>
  <c r="N433" i="2"/>
  <c r="N456" i="2"/>
  <c r="N67" i="2"/>
  <c r="N457" i="2"/>
  <c r="N76" i="2"/>
  <c r="N508" i="2"/>
  <c r="N276" i="2"/>
  <c r="N173" i="2"/>
  <c r="N27" i="2"/>
  <c r="N68" i="2"/>
  <c r="N480" i="2"/>
  <c r="N40" i="2"/>
  <c r="N414" i="2"/>
  <c r="N443" i="2"/>
  <c r="N335" i="2"/>
  <c r="N434" i="2"/>
  <c r="N288" i="2"/>
  <c r="N382" i="2"/>
  <c r="N383" i="2"/>
  <c r="N14" i="2"/>
  <c r="N209" i="2"/>
  <c r="N289" i="2"/>
  <c r="N509" i="2"/>
  <c r="N141" i="2"/>
  <c r="N369" i="2"/>
  <c r="N370" i="2"/>
  <c r="N422" i="2"/>
  <c r="N525" i="2"/>
  <c r="N444" i="2"/>
  <c r="N401" i="2"/>
  <c r="N126" i="2"/>
  <c r="N82" i="2"/>
  <c r="N415" i="2"/>
  <c r="N445" i="2"/>
  <c r="N220" i="2"/>
  <c r="N526" i="2"/>
  <c r="N91" i="2"/>
  <c r="N28" i="2"/>
  <c r="N527" i="2"/>
  <c r="N174" i="2"/>
  <c r="N423" i="2"/>
  <c r="N266" i="2"/>
  <c r="N500" i="2"/>
  <c r="N446" i="2"/>
  <c r="N142" i="2"/>
  <c r="N175" i="2"/>
  <c r="N348" i="2"/>
  <c r="N416" i="2"/>
  <c r="N232" i="2"/>
  <c r="N92" i="2"/>
  <c r="N221" i="2"/>
  <c r="N510" i="2"/>
  <c r="N176" i="2"/>
  <c r="N501" i="2"/>
  <c r="N467" i="2"/>
  <c r="N424" i="2"/>
  <c r="N222" i="2"/>
  <c r="N305" i="2"/>
  <c r="N210" i="2"/>
  <c r="N306" i="2"/>
  <c r="N29" i="2"/>
  <c r="N143" i="2"/>
  <c r="N198" i="2"/>
  <c r="N402" i="2"/>
  <c r="N233" i="2"/>
  <c r="N425" i="2"/>
  <c r="N55" i="2"/>
  <c r="N371" i="2"/>
  <c r="N403" i="2"/>
  <c r="N355" i="2"/>
  <c r="N177" i="2"/>
  <c r="N320" i="2"/>
  <c r="N290" i="2"/>
  <c r="N528" i="2"/>
  <c r="N447" i="2"/>
  <c r="N192" i="2"/>
  <c r="N448" i="2"/>
  <c r="N307" i="2"/>
  <c r="N153" i="2"/>
  <c r="N164" i="2"/>
  <c r="N349" i="2"/>
  <c r="N481" i="2"/>
  <c r="N69" i="2"/>
  <c r="N102" i="2"/>
  <c r="N529" i="2"/>
  <c r="N127" i="2"/>
  <c r="N103" i="2"/>
  <c r="N77" i="2"/>
  <c r="N93" i="2"/>
  <c r="N502" i="2"/>
  <c r="N482" i="2"/>
  <c r="N384" i="2"/>
  <c r="N128" i="2"/>
  <c r="N129" i="2"/>
  <c r="K435" i="2"/>
  <c r="M435" i="2" s="1"/>
  <c r="K145" i="2"/>
  <c r="M145" i="2" s="1"/>
  <c r="K41" i="2"/>
  <c r="M41" i="2" s="1"/>
  <c r="K404" i="2"/>
  <c r="M404" i="2" s="1"/>
  <c r="K350" i="2"/>
  <c r="M350" i="2" s="1"/>
  <c r="K30" i="2"/>
  <c r="M30" i="2" s="1"/>
  <c r="K267" i="2"/>
  <c r="M267" i="2" s="1"/>
  <c r="K426" i="2"/>
  <c r="M426" i="2" s="1"/>
  <c r="K154" i="2"/>
  <c r="M154" i="2" s="1"/>
  <c r="K483" i="2"/>
  <c r="M483" i="2" s="1"/>
  <c r="K484" i="2"/>
  <c r="M484" i="2" s="1"/>
  <c r="K511" i="2"/>
  <c r="M511" i="2" s="1"/>
  <c r="K251" i="2"/>
  <c r="M251" i="2" s="1"/>
  <c r="K405" i="2"/>
  <c r="M405" i="2" s="1"/>
  <c r="K385" i="2"/>
  <c r="M385" i="2" s="1"/>
  <c r="K223" i="2"/>
  <c r="M223" i="2" s="1"/>
  <c r="K42" i="2"/>
  <c r="M42" i="2" s="1"/>
  <c r="K31" i="2"/>
  <c r="M31" i="2" s="1"/>
  <c r="K485" i="2"/>
  <c r="M485" i="2" s="1"/>
  <c r="K386" i="2"/>
  <c r="M386" i="2" s="1"/>
  <c r="K406" i="2"/>
  <c r="M406" i="2" s="1"/>
  <c r="K351" i="2"/>
  <c r="M351" i="2" s="1"/>
  <c r="K512" i="2"/>
  <c r="M512" i="2" s="1"/>
  <c r="K70" i="2"/>
  <c r="M70" i="2" s="1"/>
  <c r="K2" i="2"/>
  <c r="M2" i="2" s="1"/>
  <c r="K458" i="2"/>
  <c r="M458" i="2" s="1"/>
  <c r="K356" i="2"/>
  <c r="M356" i="2" s="1"/>
  <c r="K43" i="2"/>
  <c r="M43" i="2" s="1"/>
  <c r="K321" i="2"/>
  <c r="M321" i="2" s="1"/>
  <c r="K104" i="2"/>
  <c r="M104" i="2" s="1"/>
  <c r="K178" i="2"/>
  <c r="M178" i="2" s="1"/>
  <c r="K243" i="2"/>
  <c r="M243" i="2" s="1"/>
  <c r="K427" i="2"/>
  <c r="M427" i="2" s="1"/>
  <c r="K503" i="2"/>
  <c r="M503" i="2" s="1"/>
  <c r="K56" i="2"/>
  <c r="M56" i="2" s="1"/>
  <c r="K504" i="2"/>
  <c r="M504" i="2" s="1"/>
  <c r="K407" i="2"/>
  <c r="M407" i="2" s="1"/>
  <c r="K387" i="2"/>
  <c r="M387" i="2" s="1"/>
  <c r="K83" i="2"/>
  <c r="M83" i="2" s="1"/>
  <c r="K252" i="2"/>
  <c r="M252" i="2" s="1"/>
  <c r="K291" i="2"/>
  <c r="M291" i="2" s="1"/>
  <c r="K165" i="2"/>
  <c r="M165" i="2" s="1"/>
  <c r="K336" i="2"/>
  <c r="M336" i="2" s="1"/>
  <c r="K146" i="2"/>
  <c r="M146" i="2" s="1"/>
  <c r="K268" i="2"/>
  <c r="M268" i="2" s="1"/>
  <c r="K57" i="2"/>
  <c r="M57" i="2" s="1"/>
  <c r="K15" i="2"/>
  <c r="M15" i="2" s="1"/>
  <c r="K357" i="2"/>
  <c r="M357" i="2" s="1"/>
  <c r="K337" i="2"/>
  <c r="M337" i="2" s="1"/>
  <c r="K199" i="2"/>
  <c r="M199" i="2" s="1"/>
  <c r="K116" i="2"/>
  <c r="M116" i="2" s="1"/>
  <c r="K234" i="2"/>
  <c r="M234" i="2" s="1"/>
  <c r="K292" i="2"/>
  <c r="M292" i="2" s="1"/>
  <c r="K513" i="2"/>
  <c r="M513" i="2" s="1"/>
  <c r="K322" i="2"/>
  <c r="M322" i="2" s="1"/>
  <c r="K269" i="2"/>
  <c r="M269" i="2" s="1"/>
  <c r="K308" i="2"/>
  <c r="M308" i="2" s="1"/>
  <c r="K449" i="2"/>
  <c r="M449" i="2" s="1"/>
  <c r="K130" i="2"/>
  <c r="M130" i="2" s="1"/>
  <c r="K486" i="2"/>
  <c r="M486" i="2" s="1"/>
  <c r="K309" i="2"/>
  <c r="M309" i="2" s="1"/>
  <c r="K224" i="2"/>
  <c r="M224" i="2" s="1"/>
  <c r="K450" i="2"/>
  <c r="M450" i="2" s="1"/>
  <c r="K16" i="2"/>
  <c r="M16" i="2" s="1"/>
  <c r="K131" i="2"/>
  <c r="M131" i="2" s="1"/>
  <c r="K262" i="2"/>
  <c r="M262" i="2" s="1"/>
  <c r="K71" i="2"/>
  <c r="M71" i="2" s="1"/>
  <c r="K323" i="2"/>
  <c r="M323" i="2" s="1"/>
  <c r="K436" i="2"/>
  <c r="M436" i="2" s="1"/>
  <c r="K3" i="2"/>
  <c r="M3" i="2" s="1"/>
  <c r="K487" i="2"/>
  <c r="M487" i="2" s="1"/>
  <c r="K105" i="2"/>
  <c r="M105" i="2" s="1"/>
  <c r="K338" i="2"/>
  <c r="M338" i="2" s="1"/>
  <c r="K78" i="2"/>
  <c r="M78" i="2" s="1"/>
  <c r="K437" i="2"/>
  <c r="M437" i="2" s="1"/>
  <c r="K488" i="2"/>
  <c r="M488" i="2" s="1"/>
  <c r="K459" i="2"/>
  <c r="M459" i="2" s="1"/>
  <c r="K94" i="2"/>
  <c r="M94" i="2" s="1"/>
  <c r="K352" i="2"/>
  <c r="M352" i="2" s="1"/>
  <c r="K58" i="2"/>
  <c r="M58" i="2" s="1"/>
  <c r="K244" i="2"/>
  <c r="M244" i="2" s="1"/>
  <c r="K428" i="2"/>
  <c r="M428" i="2" s="1"/>
  <c r="K324" i="2"/>
  <c r="M324" i="2" s="1"/>
  <c r="K293" i="2"/>
  <c r="M293" i="2" s="1"/>
  <c r="K372" i="2"/>
  <c r="M372" i="2" s="1"/>
  <c r="K193" i="2"/>
  <c r="M193" i="2" s="1"/>
  <c r="K200" i="2"/>
  <c r="M200" i="2" s="1"/>
  <c r="K438" i="2"/>
  <c r="M438" i="2" s="1"/>
  <c r="K211" i="2"/>
  <c r="M211" i="2" s="1"/>
  <c r="K489" i="2"/>
  <c r="M489" i="2" s="1"/>
  <c r="K310" i="2"/>
  <c r="M310" i="2" s="1"/>
  <c r="K339" i="2"/>
  <c r="M339" i="2" s="1"/>
  <c r="K429" i="2"/>
  <c r="M429" i="2" s="1"/>
  <c r="K340" i="2"/>
  <c r="M340" i="2" s="1"/>
  <c r="K325" i="2"/>
  <c r="M325" i="2" s="1"/>
  <c r="K201" i="2"/>
  <c r="M201" i="2" s="1"/>
  <c r="K490" i="2"/>
  <c r="M490" i="2" s="1"/>
  <c r="K388" i="2"/>
  <c r="M388" i="2" s="1"/>
  <c r="K166" i="2"/>
  <c r="M166" i="2" s="1"/>
  <c r="K155" i="2"/>
  <c r="M155" i="2" s="1"/>
  <c r="K95" i="2"/>
  <c r="M95" i="2" s="1"/>
  <c r="K84" i="2"/>
  <c r="M84" i="2" s="1"/>
  <c r="K96" i="2"/>
  <c r="M96" i="2" s="1"/>
  <c r="K202" i="2"/>
  <c r="M202" i="2" s="1"/>
  <c r="K179" i="2"/>
  <c r="M179" i="2" s="1"/>
  <c r="K311" i="2"/>
  <c r="M311" i="2" s="1"/>
  <c r="K180" i="2"/>
  <c r="M180" i="2" s="1"/>
  <c r="K408" i="2"/>
  <c r="M408" i="2" s="1"/>
  <c r="K326" i="2"/>
  <c r="M326" i="2" s="1"/>
  <c r="K491" i="2"/>
  <c r="M491" i="2" s="1"/>
  <c r="K460" i="2"/>
  <c r="M460" i="2" s="1"/>
  <c r="K253" i="2"/>
  <c r="M253" i="2" s="1"/>
  <c r="K147" i="2"/>
  <c r="M147" i="2" s="1"/>
  <c r="K235" i="2"/>
  <c r="M235" i="2" s="1"/>
  <c r="K225" i="2"/>
  <c r="M225" i="2" s="1"/>
  <c r="K226" i="2"/>
  <c r="M226" i="2" s="1"/>
  <c r="K245" i="2"/>
  <c r="M245" i="2" s="1"/>
  <c r="K409" i="2"/>
  <c r="M409" i="2" s="1"/>
  <c r="K373" i="2"/>
  <c r="M373" i="2" s="1"/>
  <c r="K312" i="2"/>
  <c r="M312" i="2" s="1"/>
  <c r="K44" i="2"/>
  <c r="M44" i="2" s="1"/>
  <c r="K4" i="2"/>
  <c r="M4" i="2" s="1"/>
  <c r="K358" i="2"/>
  <c r="M358" i="2" s="1"/>
  <c r="K468" i="2"/>
  <c r="M468" i="2" s="1"/>
  <c r="K270" i="2"/>
  <c r="M270" i="2" s="1"/>
  <c r="K212" i="2"/>
  <c r="M212" i="2" s="1"/>
  <c r="K167" i="2"/>
  <c r="M167" i="2" s="1"/>
  <c r="K451" i="2"/>
  <c r="M451" i="2" s="1"/>
  <c r="K271" i="2"/>
  <c r="M271" i="2" s="1"/>
  <c r="K469" i="2"/>
  <c r="M469" i="2" s="1"/>
  <c r="K181" i="2"/>
  <c r="M181" i="2" s="1"/>
  <c r="K182" i="2"/>
  <c r="M182" i="2" s="1"/>
  <c r="K117" i="2"/>
  <c r="M117" i="2" s="1"/>
  <c r="K97" i="2"/>
  <c r="M97" i="2" s="1"/>
  <c r="K59" i="2"/>
  <c r="M59" i="2" s="1"/>
  <c r="K236" i="2"/>
  <c r="M236" i="2" s="1"/>
  <c r="K410" i="2"/>
  <c r="M410" i="2" s="1"/>
  <c r="K156" i="2"/>
  <c r="M156" i="2" s="1"/>
  <c r="K60" i="2"/>
  <c r="M60" i="2" s="1"/>
  <c r="K106" i="2"/>
  <c r="M106" i="2" s="1"/>
  <c r="K374" i="2"/>
  <c r="M374" i="2" s="1"/>
  <c r="K32" i="2"/>
  <c r="M32" i="2" s="1"/>
  <c r="K17" i="2"/>
  <c r="M17" i="2" s="1"/>
  <c r="K470" i="2"/>
  <c r="M470" i="2" s="1"/>
  <c r="K45" i="2"/>
  <c r="M45" i="2" s="1"/>
  <c r="K389" i="2"/>
  <c r="M389" i="2" s="1"/>
  <c r="K98" i="2"/>
  <c r="M98" i="2" s="1"/>
  <c r="K213" i="2"/>
  <c r="M213" i="2" s="1"/>
  <c r="K254" i="2"/>
  <c r="M254" i="2" s="1"/>
  <c r="K294" i="2"/>
  <c r="M294" i="2" s="1"/>
  <c r="K439" i="2"/>
  <c r="M439" i="2" s="1"/>
  <c r="K505" i="2"/>
  <c r="M505" i="2" s="1"/>
  <c r="K327" i="2"/>
  <c r="M327" i="2" s="1"/>
  <c r="K277" i="2"/>
  <c r="M277" i="2" s="1"/>
  <c r="K263" i="2"/>
  <c r="M263" i="2" s="1"/>
  <c r="K417" i="2"/>
  <c r="M417" i="2" s="1"/>
  <c r="K430" i="2"/>
  <c r="M430" i="2" s="1"/>
  <c r="K99" i="2"/>
  <c r="M99" i="2" s="1"/>
  <c r="K514" i="2"/>
  <c r="M514" i="2" s="1"/>
  <c r="K5" i="2"/>
  <c r="M5" i="2" s="1"/>
  <c r="K255" i="2"/>
  <c r="M255" i="2" s="1"/>
  <c r="K246" i="2"/>
  <c r="M246" i="2" s="1"/>
  <c r="K390" i="2"/>
  <c r="M390" i="2" s="1"/>
  <c r="K313" i="2"/>
  <c r="M313" i="2" s="1"/>
  <c r="K431" i="2"/>
  <c r="M431" i="2" s="1"/>
  <c r="K61" i="2"/>
  <c r="M61" i="2" s="1"/>
  <c r="K515" i="2"/>
  <c r="M515" i="2" s="1"/>
  <c r="K72" i="2"/>
  <c r="M72" i="2" s="1"/>
  <c r="K256" i="2"/>
  <c r="M256" i="2" s="1"/>
  <c r="K118" i="2"/>
  <c r="M118" i="2" s="1"/>
  <c r="K295" i="2"/>
  <c r="M295" i="2" s="1"/>
  <c r="K33" i="2"/>
  <c r="M33" i="2" s="1"/>
  <c r="K272" i="2"/>
  <c r="M272" i="2" s="1"/>
  <c r="K227" i="2"/>
  <c r="M227" i="2" s="1"/>
  <c r="K353" i="2"/>
  <c r="M353" i="2" s="1"/>
  <c r="K314" i="2"/>
  <c r="M314" i="2" s="1"/>
  <c r="K452" i="2"/>
  <c r="M452" i="2" s="1"/>
  <c r="K391" i="2"/>
  <c r="M391" i="2" s="1"/>
  <c r="K148" i="2"/>
  <c r="M148" i="2" s="1"/>
  <c r="K6" i="2"/>
  <c r="M6" i="2" s="1"/>
  <c r="K411" i="2"/>
  <c r="M411" i="2" s="1"/>
  <c r="K264" i="2"/>
  <c r="M264" i="2" s="1"/>
  <c r="K34" i="2"/>
  <c r="M34" i="2" s="1"/>
  <c r="K471" i="2"/>
  <c r="M471" i="2" s="1"/>
  <c r="K315" i="2"/>
  <c r="M315" i="2" s="1"/>
  <c r="K257" i="2"/>
  <c r="M257" i="2" s="1"/>
  <c r="K359" i="2"/>
  <c r="M359" i="2" s="1"/>
  <c r="K214" i="2"/>
  <c r="M214" i="2" s="1"/>
  <c r="K516" i="2"/>
  <c r="M516" i="2" s="1"/>
  <c r="K341" i="2"/>
  <c r="M341" i="2" s="1"/>
  <c r="K7" i="2"/>
  <c r="M7" i="2" s="1"/>
  <c r="K278" i="2"/>
  <c r="M278" i="2" s="1"/>
  <c r="K8" i="2"/>
  <c r="M8" i="2" s="1"/>
  <c r="K472" i="2"/>
  <c r="M472" i="2" s="1"/>
  <c r="K492" i="2"/>
  <c r="M492" i="2" s="1"/>
  <c r="K493" i="2"/>
  <c r="M493" i="2" s="1"/>
  <c r="K228" i="2"/>
  <c r="M228" i="2" s="1"/>
  <c r="K461" i="2"/>
  <c r="M461" i="2" s="1"/>
  <c r="K18" i="2"/>
  <c r="M18" i="2" s="1"/>
  <c r="K203" i="2"/>
  <c r="M203" i="2" s="1"/>
  <c r="K237" i="2"/>
  <c r="M237" i="2" s="1"/>
  <c r="K392" i="2"/>
  <c r="M392" i="2" s="1"/>
  <c r="K157" i="2"/>
  <c r="M157" i="2" s="1"/>
  <c r="K73" i="2"/>
  <c r="M73" i="2" s="1"/>
  <c r="K342" i="2"/>
  <c r="M342" i="2" s="1"/>
  <c r="K158" i="2"/>
  <c r="M158" i="2" s="1"/>
  <c r="K215" i="2"/>
  <c r="M215" i="2" s="1"/>
  <c r="K412" i="2"/>
  <c r="M412" i="2" s="1"/>
  <c r="K418" i="2"/>
  <c r="M418" i="2" s="1"/>
  <c r="K279" i="2"/>
  <c r="M279" i="2" s="1"/>
  <c r="K440" i="2"/>
  <c r="M440" i="2" s="1"/>
  <c r="K360" i="2"/>
  <c r="M360" i="2" s="1"/>
  <c r="K413" i="2"/>
  <c r="M413" i="2" s="1"/>
  <c r="K119" i="2"/>
  <c r="M119" i="2" s="1"/>
  <c r="K296" i="2"/>
  <c r="M296" i="2" s="1"/>
  <c r="K9" i="2"/>
  <c r="M9" i="2" s="1"/>
  <c r="K273" i="2"/>
  <c r="M273" i="2" s="1"/>
  <c r="K238" i="2"/>
  <c r="M238" i="2" s="1"/>
  <c r="K120" i="2"/>
  <c r="M120" i="2" s="1"/>
  <c r="K265" i="2"/>
  <c r="M265" i="2" s="1"/>
  <c r="K100" i="2"/>
  <c r="M100" i="2" s="1"/>
  <c r="K121" i="2"/>
  <c r="M121" i="2" s="1"/>
  <c r="K517" i="2"/>
  <c r="M517" i="2" s="1"/>
  <c r="K46" i="2"/>
  <c r="M46" i="2" s="1"/>
  <c r="K85" i="2"/>
  <c r="M85" i="2" s="1"/>
  <c r="K441" i="2"/>
  <c r="M441" i="2" s="1"/>
  <c r="K239" i="2"/>
  <c r="M239" i="2" s="1"/>
  <c r="K149" i="2"/>
  <c r="M149" i="2" s="1"/>
  <c r="K419" i="2"/>
  <c r="M419" i="2" s="1"/>
  <c r="K79" i="2"/>
  <c r="M79" i="2" s="1"/>
  <c r="K494" i="2"/>
  <c r="M494" i="2" s="1"/>
  <c r="K462" i="2"/>
  <c r="M462" i="2" s="1"/>
  <c r="K107" i="2"/>
  <c r="M107" i="2" s="1"/>
  <c r="K393" i="2"/>
  <c r="M393" i="2" s="1"/>
  <c r="K86" i="2"/>
  <c r="M86" i="2" s="1"/>
  <c r="K159" i="2"/>
  <c r="M159" i="2" s="1"/>
  <c r="K74" i="2"/>
  <c r="M74" i="2" s="1"/>
  <c r="K132" i="2"/>
  <c r="M132" i="2" s="1"/>
  <c r="K463" i="2"/>
  <c r="M463" i="2" s="1"/>
  <c r="K453" i="2"/>
  <c r="M453" i="2" s="1"/>
  <c r="K183" i="2"/>
  <c r="M183" i="2" s="1"/>
  <c r="K394" i="2"/>
  <c r="M394" i="2" s="1"/>
  <c r="K216" i="2"/>
  <c r="M216" i="2" s="1"/>
  <c r="K47" i="2"/>
  <c r="M47" i="2" s="1"/>
  <c r="K108" i="2"/>
  <c r="M108" i="2" s="1"/>
  <c r="K150" i="2"/>
  <c r="M150" i="2" s="1"/>
  <c r="K518" i="2"/>
  <c r="M518" i="2" s="1"/>
  <c r="K495" i="2"/>
  <c r="M495" i="2" s="1"/>
  <c r="K35" i="2"/>
  <c r="M35" i="2" s="1"/>
  <c r="K247" i="2"/>
  <c r="M247" i="2" s="1"/>
  <c r="K258" i="2"/>
  <c r="M258" i="2" s="1"/>
  <c r="K328" i="2"/>
  <c r="M328" i="2" s="1"/>
  <c r="K122" i="2"/>
  <c r="M122" i="2" s="1"/>
  <c r="K133" i="2"/>
  <c r="M133" i="2" s="1"/>
  <c r="K280" i="2"/>
  <c r="M280" i="2" s="1"/>
  <c r="K496" i="2"/>
  <c r="M496" i="2" s="1"/>
  <c r="K420" i="2"/>
  <c r="M420" i="2" s="1"/>
  <c r="K473" i="2"/>
  <c r="M473" i="2" s="1"/>
  <c r="K329" i="2"/>
  <c r="M329" i="2" s="1"/>
  <c r="K330" i="2"/>
  <c r="M330" i="2" s="1"/>
  <c r="K109" i="2"/>
  <c r="M109" i="2" s="1"/>
  <c r="K248" i="2"/>
  <c r="M248" i="2" s="1"/>
  <c r="K110" i="2"/>
  <c r="M110" i="2" s="1"/>
  <c r="K168" i="2"/>
  <c r="M168" i="2" s="1"/>
  <c r="K375" i="2"/>
  <c r="M375" i="2" s="1"/>
  <c r="K506" i="2"/>
  <c r="M506" i="2" s="1"/>
  <c r="K134" i="2"/>
  <c r="M134" i="2" s="1"/>
  <c r="K331" i="2"/>
  <c r="M331" i="2" s="1"/>
  <c r="K361" i="2"/>
  <c r="M361" i="2" s="1"/>
  <c r="K395" i="2"/>
  <c r="M395" i="2" s="1"/>
  <c r="K362" i="2"/>
  <c r="M362" i="2" s="1"/>
  <c r="K217" i="2"/>
  <c r="M217" i="2" s="1"/>
  <c r="K123" i="2"/>
  <c r="M123" i="2" s="1"/>
  <c r="K249" i="2"/>
  <c r="M249" i="2" s="1"/>
  <c r="K160" i="2"/>
  <c r="M160" i="2" s="1"/>
  <c r="K464" i="2"/>
  <c r="M464" i="2" s="1"/>
  <c r="K87" i="2"/>
  <c r="M87" i="2" s="1"/>
  <c r="K240" i="2"/>
  <c r="M240" i="2" s="1"/>
  <c r="K161" i="2"/>
  <c r="M161" i="2" s="1"/>
  <c r="K10" i="2"/>
  <c r="M10" i="2" s="1"/>
  <c r="K19" i="2"/>
  <c r="M19" i="2" s="1"/>
  <c r="K497" i="2"/>
  <c r="M497" i="2" s="1"/>
  <c r="K343" i="2"/>
  <c r="M343" i="2" s="1"/>
  <c r="K194" i="2"/>
  <c r="M194" i="2" s="1"/>
  <c r="K184" i="2"/>
  <c r="M184" i="2" s="1"/>
  <c r="K259" i="2"/>
  <c r="M259" i="2" s="1"/>
  <c r="K474" i="2"/>
  <c r="M474" i="2" s="1"/>
  <c r="K62" i="2"/>
  <c r="M62" i="2" s="1"/>
  <c r="K162" i="2"/>
  <c r="M162" i="2" s="1"/>
  <c r="K204" i="2"/>
  <c r="M204" i="2" s="1"/>
  <c r="K20" i="2"/>
  <c r="M20" i="2" s="1"/>
  <c r="K63" i="2"/>
  <c r="M63" i="2" s="1"/>
  <c r="K48" i="2"/>
  <c r="M48" i="2" s="1"/>
  <c r="K363" i="2"/>
  <c r="M363" i="2" s="1"/>
  <c r="K111" i="2"/>
  <c r="M111" i="2" s="1"/>
  <c r="K281" i="2"/>
  <c r="M281" i="2" s="1"/>
  <c r="K316" i="2"/>
  <c r="M316" i="2" s="1"/>
  <c r="K364" i="2"/>
  <c r="M364" i="2" s="1"/>
  <c r="K21" i="2"/>
  <c r="M21" i="2" s="1"/>
  <c r="K135" i="2"/>
  <c r="M135" i="2" s="1"/>
  <c r="K151" i="2"/>
  <c r="M151" i="2" s="1"/>
  <c r="K185" i="2"/>
  <c r="M185" i="2" s="1"/>
  <c r="K421" i="2"/>
  <c r="M421" i="2" s="1"/>
  <c r="K136" i="2"/>
  <c r="M136" i="2" s="1"/>
  <c r="K64" i="2"/>
  <c r="M64" i="2" s="1"/>
  <c r="K432" i="2"/>
  <c r="M432" i="2" s="1"/>
  <c r="K282" i="2"/>
  <c r="M282" i="2" s="1"/>
  <c r="K49" i="2"/>
  <c r="M49" i="2" s="1"/>
  <c r="K36" i="2"/>
  <c r="M36" i="2" s="1"/>
  <c r="K519" i="2"/>
  <c r="M519" i="2" s="1"/>
  <c r="K344" i="2"/>
  <c r="M344" i="2" s="1"/>
  <c r="K50" i="2"/>
  <c r="M50" i="2" s="1"/>
  <c r="K376" i="2"/>
  <c r="M376" i="2" s="1"/>
  <c r="K186" i="2"/>
  <c r="M186" i="2" s="1"/>
  <c r="K283" i="2"/>
  <c r="M283" i="2" s="1"/>
  <c r="K218" i="2"/>
  <c r="M218" i="2" s="1"/>
  <c r="K297" i="2"/>
  <c r="M297" i="2" s="1"/>
  <c r="K475" i="2"/>
  <c r="M475" i="2" s="1"/>
  <c r="K365" i="2"/>
  <c r="M365" i="2" s="1"/>
  <c r="K11" i="2"/>
  <c r="M11" i="2" s="1"/>
  <c r="K345" i="2"/>
  <c r="M345" i="2" s="1"/>
  <c r="K366" i="2"/>
  <c r="M366" i="2" s="1"/>
  <c r="K12" i="2"/>
  <c r="M12" i="2" s="1"/>
  <c r="K22" i="2"/>
  <c r="M22" i="2" s="1"/>
  <c r="K23" i="2"/>
  <c r="M23" i="2" s="1"/>
  <c r="K465" i="2"/>
  <c r="M465" i="2" s="1"/>
  <c r="K284" i="2"/>
  <c r="M284" i="2" s="1"/>
  <c r="K454" i="2"/>
  <c r="M454" i="2" s="1"/>
  <c r="K24" i="2"/>
  <c r="M24" i="2" s="1"/>
  <c r="K187" i="2"/>
  <c r="M187" i="2" s="1"/>
  <c r="K476" i="2"/>
  <c r="M476" i="2" s="1"/>
  <c r="K205" i="2"/>
  <c r="M205" i="2" s="1"/>
  <c r="K137" i="2"/>
  <c r="M137" i="2" s="1"/>
  <c r="K346" i="2"/>
  <c r="M346" i="2" s="1"/>
  <c r="K285" i="2"/>
  <c r="M285" i="2" s="1"/>
  <c r="K520" i="2"/>
  <c r="M520" i="2" s="1"/>
  <c r="K396" i="2"/>
  <c r="M396" i="2" s="1"/>
  <c r="K51" i="2"/>
  <c r="M51" i="2" s="1"/>
  <c r="K37" i="2"/>
  <c r="M37" i="2" s="1"/>
  <c r="K298" i="2"/>
  <c r="M298" i="2" s="1"/>
  <c r="K163" i="2"/>
  <c r="M163" i="2" s="1"/>
  <c r="K188" i="2"/>
  <c r="M188" i="2" s="1"/>
  <c r="K299" i="2"/>
  <c r="M299" i="2" s="1"/>
  <c r="K397" i="2"/>
  <c r="M397" i="2" s="1"/>
  <c r="K377" i="2"/>
  <c r="M377" i="2" s="1"/>
  <c r="K152" i="2"/>
  <c r="M152" i="2" s="1"/>
  <c r="K229" i="2"/>
  <c r="M229" i="2" s="1"/>
  <c r="K398" i="2"/>
  <c r="M398" i="2" s="1"/>
  <c r="K169" i="2"/>
  <c r="M169" i="2" s="1"/>
  <c r="K300" i="2"/>
  <c r="M300" i="2" s="1"/>
  <c r="K250" i="2"/>
  <c r="M250" i="2" s="1"/>
  <c r="K195" i="2"/>
  <c r="M195" i="2" s="1"/>
  <c r="K101" i="2"/>
  <c r="M101" i="2" s="1"/>
  <c r="K124" i="2"/>
  <c r="M124" i="2" s="1"/>
  <c r="K138" i="2"/>
  <c r="M138" i="2" s="1"/>
  <c r="K88" i="2"/>
  <c r="M88" i="2" s="1"/>
  <c r="K230" i="2"/>
  <c r="M230" i="2" s="1"/>
  <c r="K112" i="2"/>
  <c r="M112" i="2" s="1"/>
  <c r="K354" i="2"/>
  <c r="M354" i="2" s="1"/>
  <c r="K301" i="2"/>
  <c r="M301" i="2" s="1"/>
  <c r="K302" i="2"/>
  <c r="M302" i="2" s="1"/>
  <c r="K442" i="2"/>
  <c r="M442" i="2" s="1"/>
  <c r="K521" i="2"/>
  <c r="M521" i="2" s="1"/>
  <c r="K170" i="2"/>
  <c r="M170" i="2" s="1"/>
  <c r="K25" i="2"/>
  <c r="M25" i="2" s="1"/>
  <c r="K317" i="2"/>
  <c r="M317" i="2" s="1"/>
  <c r="K303" i="2"/>
  <c r="M303" i="2" s="1"/>
  <c r="K477" i="2"/>
  <c r="M477" i="2" s="1"/>
  <c r="K89" i="2"/>
  <c r="M89" i="2" s="1"/>
  <c r="K113" i="2"/>
  <c r="M113" i="2" s="1"/>
  <c r="K52" i="2"/>
  <c r="M52" i="2" s="1"/>
  <c r="K231" i="2"/>
  <c r="M231" i="2" s="1"/>
  <c r="K522" i="2"/>
  <c r="M522" i="2" s="1"/>
  <c r="K65" i="2"/>
  <c r="M65" i="2" s="1"/>
  <c r="K378" i="2"/>
  <c r="M378" i="2" s="1"/>
  <c r="K90" i="2"/>
  <c r="M90" i="2" s="1"/>
  <c r="K318" i="2"/>
  <c r="M318" i="2" s="1"/>
  <c r="K455" i="2"/>
  <c r="M455" i="2" s="1"/>
  <c r="K241" i="2"/>
  <c r="M241" i="2" s="1"/>
  <c r="K286" i="2"/>
  <c r="M286" i="2" s="1"/>
  <c r="K498" i="2"/>
  <c r="M498" i="2" s="1"/>
  <c r="K332" i="2"/>
  <c r="M332" i="2" s="1"/>
  <c r="K26" i="2"/>
  <c r="M26" i="2" s="1"/>
  <c r="K196" i="2"/>
  <c r="M196" i="2" s="1"/>
  <c r="K466" i="2"/>
  <c r="M466" i="2" s="1"/>
  <c r="K13" i="2"/>
  <c r="M13" i="2" s="1"/>
  <c r="K53" i="2"/>
  <c r="M53" i="2" s="1"/>
  <c r="K206" i="2"/>
  <c r="M206" i="2" s="1"/>
  <c r="K139" i="2"/>
  <c r="M139" i="2" s="1"/>
  <c r="K399" i="2"/>
  <c r="M399" i="2" s="1"/>
  <c r="K507" i="2"/>
  <c r="M507" i="2" s="1"/>
  <c r="K379" i="2"/>
  <c r="M379" i="2" s="1"/>
  <c r="K80" i="2"/>
  <c r="M80" i="2" s="1"/>
  <c r="K274" i="2"/>
  <c r="M274" i="2" s="1"/>
  <c r="K171" i="2"/>
  <c r="M171" i="2" s="1"/>
  <c r="K478" i="2"/>
  <c r="M478" i="2" s="1"/>
  <c r="K207" i="2"/>
  <c r="M207" i="2" s="1"/>
  <c r="K367" i="2"/>
  <c r="M367" i="2" s="1"/>
  <c r="K319" i="2"/>
  <c r="M319" i="2" s="1"/>
  <c r="K275" i="2"/>
  <c r="M275" i="2" s="1"/>
  <c r="K380" i="2"/>
  <c r="M380" i="2" s="1"/>
  <c r="K54" i="2"/>
  <c r="M54" i="2" s="1"/>
  <c r="K479" i="2"/>
  <c r="M479" i="2" s="1"/>
  <c r="K114" i="2"/>
  <c r="M114" i="2" s="1"/>
  <c r="K499" i="2"/>
  <c r="M499" i="2" s="1"/>
  <c r="K400" i="2"/>
  <c r="M400" i="2" s="1"/>
  <c r="K208" i="2"/>
  <c r="M208" i="2" s="1"/>
  <c r="K75" i="2"/>
  <c r="M75" i="2" s="1"/>
  <c r="K304" i="2"/>
  <c r="M304" i="2" s="1"/>
  <c r="K523" i="2"/>
  <c r="M523" i="2" s="1"/>
  <c r="K197" i="2"/>
  <c r="M197" i="2" s="1"/>
  <c r="K38" i="2"/>
  <c r="M38" i="2" s="1"/>
  <c r="K39" i="2"/>
  <c r="M39" i="2" s="1"/>
  <c r="K287" i="2"/>
  <c r="M287" i="2" s="1"/>
  <c r="K140" i="2"/>
  <c r="M140" i="2" s="1"/>
  <c r="K189" i="2"/>
  <c r="M189" i="2" s="1"/>
  <c r="K190" i="2"/>
  <c r="M190" i="2" s="1"/>
  <c r="K368" i="2"/>
  <c r="M368" i="2" s="1"/>
  <c r="K242" i="2"/>
  <c r="M242" i="2" s="1"/>
  <c r="K347" i="2"/>
  <c r="M347" i="2" s="1"/>
  <c r="K125" i="2"/>
  <c r="M125" i="2" s="1"/>
  <c r="K172" i="2"/>
  <c r="M172" i="2" s="1"/>
  <c r="K333" i="2"/>
  <c r="M333" i="2" s="1"/>
  <c r="K115" i="2"/>
  <c r="M115" i="2" s="1"/>
  <c r="K81" i="2"/>
  <c r="M81" i="2" s="1"/>
  <c r="K260" i="2"/>
  <c r="M260" i="2" s="1"/>
  <c r="K381" i="2"/>
  <c r="M381" i="2" s="1"/>
  <c r="K191" i="2"/>
  <c r="M191" i="2" s="1"/>
  <c r="K524" i="2"/>
  <c r="M524" i="2" s="1"/>
  <c r="K334" i="2"/>
  <c r="M334" i="2" s="1"/>
  <c r="K66" i="2"/>
  <c r="M66" i="2" s="1"/>
  <c r="K219" i="2"/>
  <c r="M219" i="2" s="1"/>
  <c r="K433" i="2"/>
  <c r="M433" i="2" s="1"/>
  <c r="K456" i="2"/>
  <c r="M456" i="2" s="1"/>
  <c r="K67" i="2"/>
  <c r="M67" i="2" s="1"/>
  <c r="K457" i="2"/>
  <c r="M457" i="2" s="1"/>
  <c r="K76" i="2"/>
  <c r="M76" i="2" s="1"/>
  <c r="K508" i="2"/>
  <c r="M508" i="2" s="1"/>
  <c r="K276" i="2"/>
  <c r="M276" i="2" s="1"/>
  <c r="K173" i="2"/>
  <c r="M173" i="2" s="1"/>
  <c r="K27" i="2"/>
  <c r="M27" i="2" s="1"/>
  <c r="K68" i="2"/>
  <c r="M68" i="2" s="1"/>
  <c r="K480" i="2"/>
  <c r="M480" i="2" s="1"/>
  <c r="K40" i="2"/>
  <c r="M40" i="2" s="1"/>
  <c r="K414" i="2"/>
  <c r="M414" i="2" s="1"/>
  <c r="K443" i="2"/>
  <c r="M443" i="2" s="1"/>
  <c r="K335" i="2"/>
  <c r="M335" i="2" s="1"/>
  <c r="K434" i="2"/>
  <c r="M434" i="2" s="1"/>
  <c r="K288" i="2"/>
  <c r="M288" i="2" s="1"/>
  <c r="K382" i="2"/>
  <c r="M382" i="2" s="1"/>
  <c r="K383" i="2"/>
  <c r="M383" i="2" s="1"/>
  <c r="K14" i="2"/>
  <c r="M14" i="2" s="1"/>
  <c r="K209" i="2"/>
  <c r="M209" i="2" s="1"/>
  <c r="K289" i="2"/>
  <c r="M289" i="2" s="1"/>
  <c r="K509" i="2"/>
  <c r="M509" i="2" s="1"/>
  <c r="K141" i="2"/>
  <c r="M141" i="2" s="1"/>
  <c r="K369" i="2"/>
  <c r="M369" i="2" s="1"/>
  <c r="K370" i="2"/>
  <c r="M370" i="2" s="1"/>
  <c r="K422" i="2"/>
  <c r="M422" i="2" s="1"/>
  <c r="K525" i="2"/>
  <c r="M525" i="2" s="1"/>
  <c r="K444" i="2"/>
  <c r="M444" i="2" s="1"/>
  <c r="K401" i="2"/>
  <c r="M401" i="2" s="1"/>
  <c r="K126" i="2"/>
  <c r="M126" i="2" s="1"/>
  <c r="K82" i="2"/>
  <c r="M82" i="2" s="1"/>
  <c r="K415" i="2"/>
  <c r="M415" i="2" s="1"/>
  <c r="K445" i="2"/>
  <c r="M445" i="2" s="1"/>
  <c r="K220" i="2"/>
  <c r="M220" i="2" s="1"/>
  <c r="K526" i="2"/>
  <c r="M526" i="2" s="1"/>
  <c r="K91" i="2"/>
  <c r="M91" i="2" s="1"/>
  <c r="K28" i="2"/>
  <c r="M28" i="2" s="1"/>
  <c r="K527" i="2"/>
  <c r="M527" i="2" s="1"/>
  <c r="K174" i="2"/>
  <c r="M174" i="2" s="1"/>
  <c r="K423" i="2"/>
  <c r="M423" i="2" s="1"/>
  <c r="K266" i="2"/>
  <c r="M266" i="2" s="1"/>
  <c r="K500" i="2"/>
  <c r="M500" i="2" s="1"/>
  <c r="K446" i="2"/>
  <c r="M446" i="2" s="1"/>
  <c r="K142" i="2"/>
  <c r="M142" i="2" s="1"/>
  <c r="K175" i="2"/>
  <c r="M175" i="2" s="1"/>
  <c r="K348" i="2"/>
  <c r="M348" i="2" s="1"/>
  <c r="K416" i="2"/>
  <c r="M416" i="2" s="1"/>
  <c r="K232" i="2"/>
  <c r="M232" i="2" s="1"/>
  <c r="K92" i="2"/>
  <c r="M92" i="2" s="1"/>
  <c r="K221" i="2"/>
  <c r="M221" i="2" s="1"/>
  <c r="K510" i="2"/>
  <c r="M510" i="2" s="1"/>
  <c r="K176" i="2"/>
  <c r="M176" i="2" s="1"/>
  <c r="K501" i="2"/>
  <c r="M501" i="2" s="1"/>
  <c r="K467" i="2"/>
  <c r="M467" i="2" s="1"/>
  <c r="K424" i="2"/>
  <c r="M424" i="2" s="1"/>
  <c r="K222" i="2"/>
  <c r="M222" i="2" s="1"/>
  <c r="K305" i="2"/>
  <c r="M305" i="2" s="1"/>
  <c r="K210" i="2"/>
  <c r="M210" i="2" s="1"/>
  <c r="K306" i="2"/>
  <c r="M306" i="2" s="1"/>
  <c r="K29" i="2"/>
  <c r="M29" i="2" s="1"/>
  <c r="K143" i="2"/>
  <c r="M143" i="2" s="1"/>
  <c r="K198" i="2"/>
  <c r="M198" i="2" s="1"/>
  <c r="K402" i="2"/>
  <c r="M402" i="2" s="1"/>
  <c r="K233" i="2"/>
  <c r="M233" i="2" s="1"/>
  <c r="K425" i="2"/>
  <c r="M425" i="2" s="1"/>
  <c r="K55" i="2"/>
  <c r="M55" i="2" s="1"/>
  <c r="K371" i="2"/>
  <c r="M371" i="2" s="1"/>
  <c r="K403" i="2"/>
  <c r="M403" i="2" s="1"/>
  <c r="K355" i="2"/>
  <c r="M355" i="2" s="1"/>
  <c r="K177" i="2"/>
  <c r="M177" i="2" s="1"/>
  <c r="K320" i="2"/>
  <c r="M320" i="2" s="1"/>
  <c r="K290" i="2"/>
  <c r="M290" i="2" s="1"/>
  <c r="K528" i="2"/>
  <c r="M528" i="2" s="1"/>
  <c r="K447" i="2"/>
  <c r="M447" i="2" s="1"/>
  <c r="K192" i="2"/>
  <c r="M192" i="2" s="1"/>
  <c r="K448" i="2"/>
  <c r="M448" i="2" s="1"/>
  <c r="K307" i="2"/>
  <c r="M307" i="2" s="1"/>
  <c r="K153" i="2"/>
  <c r="M153" i="2" s="1"/>
  <c r="K164" i="2"/>
  <c r="M164" i="2" s="1"/>
  <c r="K349" i="2"/>
  <c r="M349" i="2" s="1"/>
  <c r="K481" i="2"/>
  <c r="M481" i="2" s="1"/>
  <c r="K69" i="2"/>
  <c r="M69" i="2" s="1"/>
  <c r="K102" i="2"/>
  <c r="M102" i="2" s="1"/>
  <c r="K529" i="2"/>
  <c r="M529" i="2" s="1"/>
  <c r="K127" i="2"/>
  <c r="M127" i="2" s="1"/>
  <c r="K103" i="2"/>
  <c r="M103" i="2" s="1"/>
  <c r="K77" i="2"/>
  <c r="M77" i="2" s="1"/>
  <c r="K93" i="2"/>
  <c r="M93" i="2" s="1"/>
  <c r="K502" i="2"/>
  <c r="M502" i="2" s="1"/>
  <c r="K482" i="2"/>
  <c r="M482" i="2" s="1"/>
  <c r="K384" i="2"/>
  <c r="M384" i="2" s="1"/>
  <c r="K128" i="2"/>
  <c r="M128" i="2" s="1"/>
  <c r="K129" i="2"/>
  <c r="M129" i="2" s="1"/>
  <c r="J261" i="2"/>
  <c r="L261" i="2" s="1"/>
  <c r="J435" i="2"/>
  <c r="L435" i="2" s="1"/>
  <c r="J145" i="2"/>
  <c r="L145" i="2" s="1"/>
  <c r="J41" i="2"/>
  <c r="L41" i="2" s="1"/>
  <c r="J404" i="2"/>
  <c r="L404" i="2" s="1"/>
  <c r="J350" i="2"/>
  <c r="L350" i="2" s="1"/>
  <c r="J30" i="2"/>
  <c r="L30" i="2" s="1"/>
  <c r="J267" i="2"/>
  <c r="L267" i="2" s="1"/>
  <c r="J426" i="2"/>
  <c r="L426" i="2" s="1"/>
  <c r="J154" i="2"/>
  <c r="L154" i="2" s="1"/>
  <c r="J483" i="2"/>
  <c r="L483" i="2" s="1"/>
  <c r="J484" i="2"/>
  <c r="L484" i="2" s="1"/>
  <c r="J511" i="2"/>
  <c r="L511" i="2" s="1"/>
  <c r="J251" i="2"/>
  <c r="L251" i="2" s="1"/>
  <c r="J405" i="2"/>
  <c r="L405" i="2" s="1"/>
  <c r="J385" i="2"/>
  <c r="L385" i="2" s="1"/>
  <c r="J223" i="2"/>
  <c r="L223" i="2" s="1"/>
  <c r="J42" i="2"/>
  <c r="L42" i="2" s="1"/>
  <c r="J31" i="2"/>
  <c r="L31" i="2" s="1"/>
  <c r="J485" i="2"/>
  <c r="L485" i="2" s="1"/>
  <c r="J386" i="2"/>
  <c r="L386" i="2" s="1"/>
  <c r="J406" i="2"/>
  <c r="L406" i="2" s="1"/>
  <c r="J351" i="2"/>
  <c r="L351" i="2" s="1"/>
  <c r="J512" i="2"/>
  <c r="L512" i="2" s="1"/>
  <c r="J70" i="2"/>
  <c r="L70" i="2" s="1"/>
  <c r="J2" i="2"/>
  <c r="L2" i="2" s="1"/>
  <c r="J458" i="2"/>
  <c r="L458" i="2" s="1"/>
  <c r="J356" i="2"/>
  <c r="L356" i="2" s="1"/>
  <c r="J43" i="2"/>
  <c r="L43" i="2" s="1"/>
  <c r="J321" i="2"/>
  <c r="L321" i="2" s="1"/>
  <c r="J104" i="2"/>
  <c r="L104" i="2" s="1"/>
  <c r="J178" i="2"/>
  <c r="L178" i="2" s="1"/>
  <c r="J243" i="2"/>
  <c r="L243" i="2" s="1"/>
  <c r="J427" i="2"/>
  <c r="L427" i="2" s="1"/>
  <c r="J503" i="2"/>
  <c r="L503" i="2" s="1"/>
  <c r="J56" i="2"/>
  <c r="L56" i="2" s="1"/>
  <c r="J504" i="2"/>
  <c r="L504" i="2" s="1"/>
  <c r="J407" i="2"/>
  <c r="L407" i="2" s="1"/>
  <c r="J387" i="2"/>
  <c r="L387" i="2" s="1"/>
  <c r="J83" i="2"/>
  <c r="L83" i="2" s="1"/>
  <c r="J252" i="2"/>
  <c r="L252" i="2" s="1"/>
  <c r="J291" i="2"/>
  <c r="L291" i="2" s="1"/>
  <c r="J165" i="2"/>
  <c r="L165" i="2" s="1"/>
  <c r="J336" i="2"/>
  <c r="L336" i="2" s="1"/>
  <c r="J146" i="2"/>
  <c r="L146" i="2" s="1"/>
  <c r="J268" i="2"/>
  <c r="L268" i="2" s="1"/>
  <c r="J57" i="2"/>
  <c r="L57" i="2" s="1"/>
  <c r="J15" i="2"/>
  <c r="L15" i="2" s="1"/>
  <c r="J357" i="2"/>
  <c r="L357" i="2" s="1"/>
  <c r="J337" i="2"/>
  <c r="L337" i="2" s="1"/>
  <c r="J199" i="2"/>
  <c r="L199" i="2" s="1"/>
  <c r="J116" i="2"/>
  <c r="L116" i="2" s="1"/>
  <c r="J234" i="2"/>
  <c r="L234" i="2" s="1"/>
  <c r="J292" i="2"/>
  <c r="L292" i="2" s="1"/>
  <c r="J513" i="2"/>
  <c r="L513" i="2" s="1"/>
  <c r="J322" i="2"/>
  <c r="L322" i="2" s="1"/>
  <c r="J308" i="2"/>
  <c r="L308" i="2" s="1"/>
  <c r="J449" i="2"/>
  <c r="L449" i="2" s="1"/>
  <c r="J130" i="2"/>
  <c r="L130" i="2" s="1"/>
  <c r="J486" i="2"/>
  <c r="L486" i="2" s="1"/>
  <c r="J309" i="2"/>
  <c r="L309" i="2" s="1"/>
  <c r="J224" i="2"/>
  <c r="L224" i="2" s="1"/>
  <c r="J450" i="2"/>
  <c r="L450" i="2" s="1"/>
  <c r="J16" i="2"/>
  <c r="L16" i="2" s="1"/>
  <c r="J131" i="2"/>
  <c r="L131" i="2" s="1"/>
  <c r="J262" i="2"/>
  <c r="L262" i="2" s="1"/>
  <c r="J71" i="2"/>
  <c r="L71" i="2" s="1"/>
  <c r="J323" i="2"/>
  <c r="L323" i="2" s="1"/>
  <c r="J436" i="2"/>
  <c r="L436" i="2" s="1"/>
  <c r="J3" i="2"/>
  <c r="L3" i="2" s="1"/>
  <c r="J487" i="2"/>
  <c r="L487" i="2" s="1"/>
  <c r="J105" i="2"/>
  <c r="L105" i="2" s="1"/>
  <c r="J338" i="2"/>
  <c r="L338" i="2" s="1"/>
  <c r="J78" i="2"/>
  <c r="L78" i="2" s="1"/>
  <c r="J437" i="2"/>
  <c r="L437" i="2" s="1"/>
  <c r="J488" i="2"/>
  <c r="L488" i="2" s="1"/>
  <c r="J459" i="2"/>
  <c r="L459" i="2" s="1"/>
  <c r="J94" i="2"/>
  <c r="L94" i="2" s="1"/>
  <c r="J352" i="2"/>
  <c r="L352" i="2" s="1"/>
  <c r="J58" i="2"/>
  <c r="L58" i="2" s="1"/>
  <c r="J244" i="2"/>
  <c r="L244" i="2" s="1"/>
  <c r="J428" i="2"/>
  <c r="L428" i="2" s="1"/>
  <c r="J324" i="2"/>
  <c r="L324" i="2" s="1"/>
  <c r="J293" i="2"/>
  <c r="L293" i="2" s="1"/>
  <c r="J372" i="2"/>
  <c r="L372" i="2" s="1"/>
  <c r="J193" i="2"/>
  <c r="L193" i="2" s="1"/>
  <c r="J200" i="2"/>
  <c r="L200" i="2" s="1"/>
  <c r="J438" i="2"/>
  <c r="L438" i="2" s="1"/>
  <c r="J211" i="2"/>
  <c r="L211" i="2" s="1"/>
  <c r="J489" i="2"/>
  <c r="L489" i="2" s="1"/>
  <c r="J310" i="2"/>
  <c r="L310" i="2" s="1"/>
  <c r="J339" i="2"/>
  <c r="L339" i="2" s="1"/>
  <c r="J429" i="2"/>
  <c r="L429" i="2" s="1"/>
  <c r="J340" i="2"/>
  <c r="L340" i="2" s="1"/>
  <c r="J325" i="2"/>
  <c r="L325" i="2" s="1"/>
  <c r="J201" i="2"/>
  <c r="L201" i="2" s="1"/>
  <c r="J490" i="2"/>
  <c r="L490" i="2" s="1"/>
  <c r="J388" i="2"/>
  <c r="L388" i="2" s="1"/>
  <c r="J166" i="2"/>
  <c r="L166" i="2" s="1"/>
  <c r="J155" i="2"/>
  <c r="L155" i="2" s="1"/>
  <c r="J95" i="2"/>
  <c r="L95" i="2" s="1"/>
  <c r="J84" i="2"/>
  <c r="L84" i="2" s="1"/>
  <c r="J96" i="2"/>
  <c r="L96" i="2" s="1"/>
  <c r="J202" i="2"/>
  <c r="L202" i="2" s="1"/>
  <c r="J179" i="2"/>
  <c r="L179" i="2" s="1"/>
  <c r="J311" i="2"/>
  <c r="L311" i="2" s="1"/>
  <c r="J180" i="2"/>
  <c r="L180" i="2" s="1"/>
  <c r="J408" i="2"/>
  <c r="L408" i="2" s="1"/>
  <c r="J326" i="2"/>
  <c r="L326" i="2" s="1"/>
  <c r="J491" i="2"/>
  <c r="L491" i="2" s="1"/>
  <c r="J460" i="2"/>
  <c r="L460" i="2" s="1"/>
  <c r="J253" i="2"/>
  <c r="L253" i="2" s="1"/>
  <c r="J147" i="2"/>
  <c r="L147" i="2" s="1"/>
  <c r="J235" i="2"/>
  <c r="L235" i="2" s="1"/>
  <c r="J225" i="2"/>
  <c r="L225" i="2" s="1"/>
  <c r="J226" i="2"/>
  <c r="L226" i="2" s="1"/>
  <c r="J245" i="2"/>
  <c r="L245" i="2" s="1"/>
  <c r="J409" i="2"/>
  <c r="L409" i="2" s="1"/>
  <c r="J373" i="2"/>
  <c r="L373" i="2" s="1"/>
  <c r="J312" i="2"/>
  <c r="L312" i="2" s="1"/>
  <c r="J44" i="2"/>
  <c r="L44" i="2" s="1"/>
  <c r="J4" i="2"/>
  <c r="L4" i="2" s="1"/>
  <c r="J358" i="2"/>
  <c r="L358" i="2" s="1"/>
  <c r="J468" i="2"/>
  <c r="L468" i="2" s="1"/>
  <c r="J270" i="2"/>
  <c r="L270" i="2" s="1"/>
  <c r="J212" i="2"/>
  <c r="L212" i="2" s="1"/>
  <c r="J167" i="2"/>
  <c r="L167" i="2" s="1"/>
  <c r="J451" i="2"/>
  <c r="L451" i="2" s="1"/>
  <c r="J469" i="2"/>
  <c r="L469" i="2" s="1"/>
  <c r="J181" i="2"/>
  <c r="L181" i="2" s="1"/>
  <c r="J182" i="2"/>
  <c r="L182" i="2" s="1"/>
  <c r="J117" i="2"/>
  <c r="L117" i="2" s="1"/>
  <c r="J97" i="2"/>
  <c r="L97" i="2" s="1"/>
  <c r="J59" i="2"/>
  <c r="L59" i="2" s="1"/>
  <c r="J236" i="2"/>
  <c r="L236" i="2" s="1"/>
  <c r="J410" i="2"/>
  <c r="L410" i="2" s="1"/>
  <c r="J156" i="2"/>
  <c r="L156" i="2" s="1"/>
  <c r="J60" i="2"/>
  <c r="L60" i="2" s="1"/>
  <c r="J106" i="2"/>
  <c r="L106" i="2" s="1"/>
  <c r="J374" i="2"/>
  <c r="L374" i="2" s="1"/>
  <c r="J32" i="2"/>
  <c r="L32" i="2" s="1"/>
  <c r="J17" i="2"/>
  <c r="L17" i="2" s="1"/>
  <c r="J470" i="2"/>
  <c r="L470" i="2" s="1"/>
  <c r="J45" i="2"/>
  <c r="L45" i="2" s="1"/>
  <c r="J389" i="2"/>
  <c r="L389" i="2" s="1"/>
  <c r="J98" i="2"/>
  <c r="L98" i="2" s="1"/>
  <c r="J213" i="2"/>
  <c r="L213" i="2" s="1"/>
  <c r="J254" i="2"/>
  <c r="L254" i="2" s="1"/>
  <c r="J294" i="2"/>
  <c r="L294" i="2" s="1"/>
  <c r="J439" i="2"/>
  <c r="L439" i="2" s="1"/>
  <c r="J505" i="2"/>
  <c r="L505" i="2" s="1"/>
  <c r="J327" i="2"/>
  <c r="L327" i="2" s="1"/>
  <c r="J277" i="2"/>
  <c r="L277" i="2" s="1"/>
  <c r="J263" i="2"/>
  <c r="L263" i="2" s="1"/>
  <c r="J417" i="2"/>
  <c r="L417" i="2" s="1"/>
  <c r="J430" i="2"/>
  <c r="L430" i="2" s="1"/>
  <c r="J99" i="2"/>
  <c r="L99" i="2" s="1"/>
  <c r="J514" i="2"/>
  <c r="L514" i="2" s="1"/>
  <c r="J5" i="2"/>
  <c r="L5" i="2" s="1"/>
  <c r="J255" i="2"/>
  <c r="L255" i="2" s="1"/>
  <c r="J246" i="2"/>
  <c r="L246" i="2" s="1"/>
  <c r="J390" i="2"/>
  <c r="L390" i="2" s="1"/>
  <c r="J313" i="2"/>
  <c r="L313" i="2" s="1"/>
  <c r="J431" i="2"/>
  <c r="L431" i="2" s="1"/>
  <c r="J61" i="2"/>
  <c r="L61" i="2" s="1"/>
  <c r="J515" i="2"/>
  <c r="L515" i="2" s="1"/>
  <c r="J72" i="2"/>
  <c r="L72" i="2" s="1"/>
  <c r="J256" i="2"/>
  <c r="L256" i="2" s="1"/>
  <c r="J118" i="2"/>
  <c r="L118" i="2" s="1"/>
  <c r="J295" i="2"/>
  <c r="L295" i="2" s="1"/>
  <c r="J33" i="2"/>
  <c r="L33" i="2" s="1"/>
  <c r="J272" i="2"/>
  <c r="L272" i="2" s="1"/>
  <c r="J227" i="2"/>
  <c r="L227" i="2" s="1"/>
  <c r="J353" i="2"/>
  <c r="L353" i="2" s="1"/>
  <c r="J314" i="2"/>
  <c r="L314" i="2" s="1"/>
  <c r="J452" i="2"/>
  <c r="L452" i="2" s="1"/>
  <c r="J391" i="2"/>
  <c r="L391" i="2" s="1"/>
  <c r="J148" i="2"/>
  <c r="L148" i="2" s="1"/>
  <c r="J6" i="2"/>
  <c r="L6" i="2" s="1"/>
  <c r="J411" i="2"/>
  <c r="L411" i="2" s="1"/>
  <c r="J264" i="2"/>
  <c r="L264" i="2" s="1"/>
  <c r="J34" i="2"/>
  <c r="L34" i="2" s="1"/>
  <c r="J471" i="2"/>
  <c r="L471" i="2" s="1"/>
  <c r="J315" i="2"/>
  <c r="L315" i="2" s="1"/>
  <c r="J257" i="2"/>
  <c r="L257" i="2" s="1"/>
  <c r="J359" i="2"/>
  <c r="L359" i="2" s="1"/>
  <c r="J214" i="2"/>
  <c r="L214" i="2" s="1"/>
  <c r="J516" i="2"/>
  <c r="L516" i="2" s="1"/>
  <c r="J341" i="2"/>
  <c r="L341" i="2" s="1"/>
  <c r="J7" i="2"/>
  <c r="L7" i="2" s="1"/>
  <c r="J278" i="2"/>
  <c r="L278" i="2" s="1"/>
  <c r="J8" i="2"/>
  <c r="L8" i="2" s="1"/>
  <c r="J472" i="2"/>
  <c r="L472" i="2" s="1"/>
  <c r="J492" i="2"/>
  <c r="L492" i="2" s="1"/>
  <c r="J493" i="2"/>
  <c r="L493" i="2" s="1"/>
  <c r="J228" i="2"/>
  <c r="L228" i="2" s="1"/>
  <c r="J461" i="2"/>
  <c r="L461" i="2" s="1"/>
  <c r="J18" i="2"/>
  <c r="L18" i="2" s="1"/>
  <c r="J203" i="2"/>
  <c r="L203" i="2" s="1"/>
  <c r="J237" i="2"/>
  <c r="L237" i="2" s="1"/>
  <c r="J392" i="2"/>
  <c r="L392" i="2" s="1"/>
  <c r="J157" i="2"/>
  <c r="L157" i="2" s="1"/>
  <c r="J73" i="2"/>
  <c r="L73" i="2" s="1"/>
  <c r="J342" i="2"/>
  <c r="L342" i="2" s="1"/>
  <c r="J158" i="2"/>
  <c r="L158" i="2" s="1"/>
  <c r="J215" i="2"/>
  <c r="L215" i="2" s="1"/>
  <c r="J412" i="2"/>
  <c r="L412" i="2" s="1"/>
  <c r="J418" i="2"/>
  <c r="L418" i="2" s="1"/>
  <c r="J279" i="2"/>
  <c r="L279" i="2" s="1"/>
  <c r="J440" i="2"/>
  <c r="L440" i="2" s="1"/>
  <c r="J360" i="2"/>
  <c r="L360" i="2" s="1"/>
  <c r="J413" i="2"/>
  <c r="L413" i="2" s="1"/>
  <c r="J119" i="2"/>
  <c r="L119" i="2" s="1"/>
  <c r="J296" i="2"/>
  <c r="L296" i="2" s="1"/>
  <c r="J9" i="2"/>
  <c r="L9" i="2" s="1"/>
  <c r="J273" i="2"/>
  <c r="L273" i="2" s="1"/>
  <c r="J238" i="2"/>
  <c r="L238" i="2" s="1"/>
  <c r="J120" i="2"/>
  <c r="L120" i="2" s="1"/>
  <c r="J265" i="2"/>
  <c r="L265" i="2" s="1"/>
  <c r="J100" i="2"/>
  <c r="L100" i="2" s="1"/>
  <c r="J121" i="2"/>
  <c r="L121" i="2" s="1"/>
  <c r="J517" i="2"/>
  <c r="L517" i="2" s="1"/>
  <c r="J46" i="2"/>
  <c r="L46" i="2" s="1"/>
  <c r="J85" i="2"/>
  <c r="L85" i="2" s="1"/>
  <c r="J441" i="2"/>
  <c r="L441" i="2" s="1"/>
  <c r="J239" i="2"/>
  <c r="L239" i="2" s="1"/>
  <c r="J149" i="2"/>
  <c r="L149" i="2" s="1"/>
  <c r="J419" i="2"/>
  <c r="L419" i="2" s="1"/>
  <c r="J79" i="2"/>
  <c r="L79" i="2" s="1"/>
  <c r="J494" i="2"/>
  <c r="L494" i="2" s="1"/>
  <c r="J462" i="2"/>
  <c r="L462" i="2" s="1"/>
  <c r="J107" i="2"/>
  <c r="L107" i="2" s="1"/>
  <c r="J393" i="2"/>
  <c r="L393" i="2" s="1"/>
  <c r="J86" i="2"/>
  <c r="L86" i="2" s="1"/>
  <c r="J159" i="2"/>
  <c r="L159" i="2" s="1"/>
  <c r="J74" i="2"/>
  <c r="L74" i="2" s="1"/>
  <c r="J132" i="2"/>
  <c r="L132" i="2" s="1"/>
  <c r="J463" i="2"/>
  <c r="L463" i="2" s="1"/>
  <c r="J453" i="2"/>
  <c r="L453" i="2" s="1"/>
  <c r="J183" i="2"/>
  <c r="L183" i="2" s="1"/>
  <c r="J394" i="2"/>
  <c r="L394" i="2" s="1"/>
  <c r="J216" i="2"/>
  <c r="L216" i="2" s="1"/>
  <c r="J47" i="2"/>
  <c r="L47" i="2" s="1"/>
  <c r="J108" i="2"/>
  <c r="L108" i="2" s="1"/>
  <c r="J150" i="2"/>
  <c r="L150" i="2" s="1"/>
  <c r="J518" i="2"/>
  <c r="L518" i="2" s="1"/>
  <c r="J495" i="2"/>
  <c r="L495" i="2" s="1"/>
  <c r="J35" i="2"/>
  <c r="L35" i="2" s="1"/>
  <c r="J247" i="2"/>
  <c r="L247" i="2" s="1"/>
  <c r="J258" i="2"/>
  <c r="L258" i="2" s="1"/>
  <c r="J328" i="2"/>
  <c r="L328" i="2" s="1"/>
  <c r="J122" i="2"/>
  <c r="L122" i="2" s="1"/>
  <c r="J133" i="2"/>
  <c r="L133" i="2" s="1"/>
  <c r="J280" i="2"/>
  <c r="L280" i="2" s="1"/>
  <c r="J496" i="2"/>
  <c r="L496" i="2" s="1"/>
  <c r="J420" i="2"/>
  <c r="L420" i="2" s="1"/>
  <c r="J473" i="2"/>
  <c r="L473" i="2" s="1"/>
  <c r="J329" i="2"/>
  <c r="L329" i="2" s="1"/>
  <c r="J330" i="2"/>
  <c r="L330" i="2" s="1"/>
  <c r="J109" i="2"/>
  <c r="L109" i="2" s="1"/>
  <c r="J248" i="2"/>
  <c r="L248" i="2" s="1"/>
  <c r="J110" i="2"/>
  <c r="L110" i="2" s="1"/>
  <c r="J168" i="2"/>
  <c r="L168" i="2" s="1"/>
  <c r="J375" i="2"/>
  <c r="L375" i="2" s="1"/>
  <c r="J506" i="2"/>
  <c r="L506" i="2" s="1"/>
  <c r="J134" i="2"/>
  <c r="L134" i="2" s="1"/>
  <c r="J331" i="2"/>
  <c r="L331" i="2" s="1"/>
  <c r="J361" i="2"/>
  <c r="L361" i="2" s="1"/>
  <c r="J395" i="2"/>
  <c r="L395" i="2" s="1"/>
  <c r="J362" i="2"/>
  <c r="L362" i="2" s="1"/>
  <c r="J217" i="2"/>
  <c r="L217" i="2" s="1"/>
  <c r="J123" i="2"/>
  <c r="L123" i="2" s="1"/>
  <c r="J160" i="2"/>
  <c r="L160" i="2" s="1"/>
  <c r="J464" i="2"/>
  <c r="L464" i="2" s="1"/>
  <c r="J87" i="2"/>
  <c r="L87" i="2" s="1"/>
  <c r="J240" i="2"/>
  <c r="L240" i="2" s="1"/>
  <c r="J161" i="2"/>
  <c r="L161" i="2" s="1"/>
  <c r="J10" i="2"/>
  <c r="L10" i="2" s="1"/>
  <c r="J19" i="2"/>
  <c r="L19" i="2" s="1"/>
  <c r="J497" i="2"/>
  <c r="L497" i="2" s="1"/>
  <c r="J343" i="2"/>
  <c r="L343" i="2" s="1"/>
  <c r="J194" i="2"/>
  <c r="L194" i="2" s="1"/>
  <c r="J184" i="2"/>
  <c r="L184" i="2" s="1"/>
  <c r="J259" i="2"/>
  <c r="L259" i="2" s="1"/>
  <c r="J474" i="2"/>
  <c r="L474" i="2" s="1"/>
  <c r="J62" i="2"/>
  <c r="L62" i="2" s="1"/>
  <c r="J162" i="2"/>
  <c r="L162" i="2" s="1"/>
  <c r="J204" i="2"/>
  <c r="L204" i="2" s="1"/>
  <c r="J20" i="2"/>
  <c r="L20" i="2" s="1"/>
  <c r="J63" i="2"/>
  <c r="L63" i="2" s="1"/>
  <c r="J48" i="2"/>
  <c r="L48" i="2" s="1"/>
  <c r="J363" i="2"/>
  <c r="L363" i="2" s="1"/>
  <c r="J111" i="2"/>
  <c r="L111" i="2" s="1"/>
  <c r="J281" i="2"/>
  <c r="L281" i="2" s="1"/>
  <c r="J316" i="2"/>
  <c r="L316" i="2" s="1"/>
  <c r="J364" i="2"/>
  <c r="L364" i="2" s="1"/>
  <c r="J21" i="2"/>
  <c r="L21" i="2" s="1"/>
  <c r="J135" i="2"/>
  <c r="L135" i="2" s="1"/>
  <c r="J151" i="2"/>
  <c r="L151" i="2" s="1"/>
  <c r="J185" i="2"/>
  <c r="L185" i="2" s="1"/>
  <c r="J421" i="2"/>
  <c r="L421" i="2" s="1"/>
  <c r="J136" i="2"/>
  <c r="L136" i="2" s="1"/>
  <c r="J64" i="2"/>
  <c r="L64" i="2" s="1"/>
  <c r="J432" i="2"/>
  <c r="L432" i="2" s="1"/>
  <c r="J282" i="2"/>
  <c r="L282" i="2" s="1"/>
  <c r="J49" i="2"/>
  <c r="L49" i="2" s="1"/>
  <c r="J36" i="2"/>
  <c r="L36" i="2" s="1"/>
  <c r="J519" i="2"/>
  <c r="L519" i="2" s="1"/>
  <c r="J344" i="2"/>
  <c r="L344" i="2" s="1"/>
  <c r="J50" i="2"/>
  <c r="L50" i="2" s="1"/>
  <c r="J376" i="2"/>
  <c r="L376" i="2" s="1"/>
  <c r="J186" i="2"/>
  <c r="L186" i="2" s="1"/>
  <c r="J283" i="2"/>
  <c r="L283" i="2" s="1"/>
  <c r="J218" i="2"/>
  <c r="L218" i="2" s="1"/>
  <c r="J297" i="2"/>
  <c r="L297" i="2" s="1"/>
  <c r="J475" i="2"/>
  <c r="L475" i="2" s="1"/>
  <c r="J365" i="2"/>
  <c r="L365" i="2" s="1"/>
  <c r="J11" i="2"/>
  <c r="L11" i="2" s="1"/>
  <c r="J345" i="2"/>
  <c r="L345" i="2" s="1"/>
  <c r="J366" i="2"/>
  <c r="L366" i="2" s="1"/>
  <c r="J12" i="2"/>
  <c r="L12" i="2" s="1"/>
  <c r="J22" i="2"/>
  <c r="L22" i="2" s="1"/>
  <c r="J23" i="2"/>
  <c r="L23" i="2" s="1"/>
  <c r="J465" i="2"/>
  <c r="L465" i="2" s="1"/>
  <c r="J284" i="2"/>
  <c r="L284" i="2" s="1"/>
  <c r="J454" i="2"/>
  <c r="L454" i="2" s="1"/>
  <c r="J24" i="2"/>
  <c r="L24" i="2" s="1"/>
  <c r="J187" i="2"/>
  <c r="L187" i="2" s="1"/>
  <c r="J476" i="2"/>
  <c r="L476" i="2" s="1"/>
  <c r="J205" i="2"/>
  <c r="L205" i="2" s="1"/>
  <c r="J137" i="2"/>
  <c r="L137" i="2" s="1"/>
  <c r="J346" i="2"/>
  <c r="L346" i="2" s="1"/>
  <c r="J285" i="2"/>
  <c r="L285" i="2" s="1"/>
  <c r="J520" i="2"/>
  <c r="L520" i="2" s="1"/>
  <c r="J396" i="2"/>
  <c r="L396" i="2" s="1"/>
  <c r="J51" i="2"/>
  <c r="L51" i="2" s="1"/>
  <c r="J37" i="2"/>
  <c r="L37" i="2" s="1"/>
  <c r="J298" i="2"/>
  <c r="L298" i="2" s="1"/>
  <c r="J163" i="2"/>
  <c r="L163" i="2" s="1"/>
  <c r="J188" i="2"/>
  <c r="L188" i="2" s="1"/>
  <c r="J299" i="2"/>
  <c r="L299" i="2" s="1"/>
  <c r="J397" i="2"/>
  <c r="L397" i="2" s="1"/>
  <c r="J377" i="2"/>
  <c r="L377" i="2" s="1"/>
  <c r="J152" i="2"/>
  <c r="L152" i="2" s="1"/>
  <c r="J229" i="2"/>
  <c r="L229" i="2" s="1"/>
  <c r="J398" i="2"/>
  <c r="L398" i="2" s="1"/>
  <c r="J169" i="2"/>
  <c r="L169" i="2" s="1"/>
  <c r="J300" i="2"/>
  <c r="L300" i="2" s="1"/>
  <c r="J250" i="2"/>
  <c r="L250" i="2" s="1"/>
  <c r="J195" i="2"/>
  <c r="L195" i="2" s="1"/>
  <c r="J101" i="2"/>
  <c r="L101" i="2" s="1"/>
  <c r="J124" i="2"/>
  <c r="L124" i="2" s="1"/>
  <c r="J138" i="2"/>
  <c r="L138" i="2" s="1"/>
  <c r="J88" i="2"/>
  <c r="L88" i="2" s="1"/>
  <c r="J230" i="2"/>
  <c r="L230" i="2" s="1"/>
  <c r="J112" i="2"/>
  <c r="L112" i="2" s="1"/>
  <c r="J354" i="2"/>
  <c r="L354" i="2" s="1"/>
  <c r="J301" i="2"/>
  <c r="L301" i="2" s="1"/>
  <c r="J302" i="2"/>
  <c r="L302" i="2" s="1"/>
  <c r="J442" i="2"/>
  <c r="L442" i="2" s="1"/>
  <c r="J521" i="2"/>
  <c r="L521" i="2" s="1"/>
  <c r="J170" i="2"/>
  <c r="L170" i="2" s="1"/>
  <c r="J25" i="2"/>
  <c r="L25" i="2" s="1"/>
  <c r="J317" i="2"/>
  <c r="L317" i="2" s="1"/>
  <c r="J303" i="2"/>
  <c r="L303" i="2" s="1"/>
  <c r="J477" i="2"/>
  <c r="L477" i="2" s="1"/>
  <c r="J89" i="2"/>
  <c r="L89" i="2" s="1"/>
  <c r="J113" i="2"/>
  <c r="L113" i="2" s="1"/>
  <c r="J52" i="2"/>
  <c r="L52" i="2" s="1"/>
  <c r="J231" i="2"/>
  <c r="L231" i="2" s="1"/>
  <c r="J522" i="2"/>
  <c r="L522" i="2" s="1"/>
  <c r="J65" i="2"/>
  <c r="L65" i="2" s="1"/>
  <c r="J378" i="2"/>
  <c r="L378" i="2" s="1"/>
  <c r="J90" i="2"/>
  <c r="L90" i="2" s="1"/>
  <c r="J318" i="2"/>
  <c r="L318" i="2" s="1"/>
  <c r="J455" i="2"/>
  <c r="L455" i="2" s="1"/>
  <c r="J241" i="2"/>
  <c r="L241" i="2" s="1"/>
  <c r="J286" i="2"/>
  <c r="L286" i="2" s="1"/>
  <c r="J498" i="2"/>
  <c r="L498" i="2" s="1"/>
  <c r="J332" i="2"/>
  <c r="L332" i="2" s="1"/>
  <c r="J26" i="2"/>
  <c r="L26" i="2" s="1"/>
  <c r="J196" i="2"/>
  <c r="L196" i="2" s="1"/>
  <c r="J466" i="2"/>
  <c r="L466" i="2" s="1"/>
  <c r="J13" i="2"/>
  <c r="L13" i="2" s="1"/>
  <c r="J53" i="2"/>
  <c r="L53" i="2" s="1"/>
  <c r="J206" i="2"/>
  <c r="L206" i="2" s="1"/>
  <c r="J139" i="2"/>
  <c r="L139" i="2" s="1"/>
  <c r="J399" i="2"/>
  <c r="L399" i="2" s="1"/>
  <c r="J507" i="2"/>
  <c r="L507" i="2" s="1"/>
  <c r="J379" i="2"/>
  <c r="L379" i="2" s="1"/>
  <c r="J80" i="2"/>
  <c r="L80" i="2" s="1"/>
  <c r="J274" i="2"/>
  <c r="L274" i="2" s="1"/>
  <c r="J171" i="2"/>
  <c r="L171" i="2" s="1"/>
  <c r="J478" i="2"/>
  <c r="L478" i="2" s="1"/>
  <c r="J207" i="2"/>
  <c r="L207" i="2" s="1"/>
  <c r="J367" i="2"/>
  <c r="L367" i="2" s="1"/>
  <c r="J319" i="2"/>
  <c r="L319" i="2" s="1"/>
  <c r="J275" i="2"/>
  <c r="L275" i="2" s="1"/>
  <c r="J380" i="2"/>
  <c r="L380" i="2" s="1"/>
  <c r="J54" i="2"/>
  <c r="L54" i="2" s="1"/>
  <c r="J479" i="2"/>
  <c r="L479" i="2" s="1"/>
  <c r="J114" i="2"/>
  <c r="L114" i="2" s="1"/>
  <c r="J499" i="2"/>
  <c r="L499" i="2" s="1"/>
  <c r="J400" i="2"/>
  <c r="L400" i="2" s="1"/>
  <c r="J208" i="2"/>
  <c r="L208" i="2" s="1"/>
  <c r="J75" i="2"/>
  <c r="L75" i="2" s="1"/>
  <c r="J304" i="2"/>
  <c r="L304" i="2" s="1"/>
  <c r="J523" i="2"/>
  <c r="L523" i="2" s="1"/>
  <c r="J197" i="2"/>
  <c r="L197" i="2" s="1"/>
  <c r="J38" i="2"/>
  <c r="L38" i="2" s="1"/>
  <c r="J39" i="2"/>
  <c r="L39" i="2" s="1"/>
  <c r="J287" i="2"/>
  <c r="L287" i="2" s="1"/>
  <c r="J140" i="2"/>
  <c r="L140" i="2" s="1"/>
  <c r="J189" i="2"/>
  <c r="L189" i="2" s="1"/>
  <c r="J190" i="2"/>
  <c r="L190" i="2" s="1"/>
  <c r="J368" i="2"/>
  <c r="L368" i="2" s="1"/>
  <c r="J347" i="2"/>
  <c r="L347" i="2" s="1"/>
  <c r="J125" i="2"/>
  <c r="L125" i="2" s="1"/>
  <c r="J172" i="2"/>
  <c r="L172" i="2" s="1"/>
  <c r="J333" i="2"/>
  <c r="L333" i="2" s="1"/>
  <c r="J115" i="2"/>
  <c r="L115" i="2" s="1"/>
  <c r="J81" i="2"/>
  <c r="L81" i="2" s="1"/>
  <c r="J260" i="2"/>
  <c r="L260" i="2" s="1"/>
  <c r="J381" i="2"/>
  <c r="L381" i="2" s="1"/>
  <c r="J191" i="2"/>
  <c r="L191" i="2" s="1"/>
  <c r="J524" i="2"/>
  <c r="L524" i="2" s="1"/>
  <c r="J334" i="2"/>
  <c r="L334" i="2" s="1"/>
  <c r="J66" i="2"/>
  <c r="L66" i="2" s="1"/>
  <c r="J219" i="2"/>
  <c r="L219" i="2" s="1"/>
  <c r="J433" i="2"/>
  <c r="L433" i="2" s="1"/>
  <c r="J456" i="2"/>
  <c r="L456" i="2" s="1"/>
  <c r="L67" i="2"/>
  <c r="J457" i="2"/>
  <c r="L457" i="2" s="1"/>
  <c r="J76" i="2"/>
  <c r="L76" i="2" s="1"/>
  <c r="J508" i="2"/>
  <c r="L508" i="2" s="1"/>
  <c r="J276" i="2"/>
  <c r="L276" i="2" s="1"/>
  <c r="J173" i="2"/>
  <c r="L173" i="2" s="1"/>
  <c r="J27" i="2"/>
  <c r="L27" i="2" s="1"/>
  <c r="J68" i="2"/>
  <c r="L68" i="2" s="1"/>
  <c r="J480" i="2"/>
  <c r="L480" i="2" s="1"/>
  <c r="J40" i="2"/>
  <c r="L40" i="2" s="1"/>
  <c r="J414" i="2"/>
  <c r="L414" i="2" s="1"/>
  <c r="J443" i="2"/>
  <c r="L443" i="2" s="1"/>
  <c r="J335" i="2"/>
  <c r="L335" i="2" s="1"/>
  <c r="J434" i="2"/>
  <c r="L434" i="2" s="1"/>
  <c r="J288" i="2"/>
  <c r="L288" i="2" s="1"/>
  <c r="J382" i="2"/>
  <c r="L382" i="2" s="1"/>
  <c r="J383" i="2"/>
  <c r="L383" i="2" s="1"/>
  <c r="J14" i="2"/>
  <c r="L14" i="2" s="1"/>
  <c r="J209" i="2"/>
  <c r="L209" i="2" s="1"/>
  <c r="J289" i="2"/>
  <c r="L289" i="2" s="1"/>
  <c r="J509" i="2"/>
  <c r="L509" i="2" s="1"/>
  <c r="J141" i="2"/>
  <c r="L141" i="2" s="1"/>
  <c r="J369" i="2"/>
  <c r="L369" i="2" s="1"/>
  <c r="J370" i="2"/>
  <c r="L370" i="2" s="1"/>
  <c r="J422" i="2"/>
  <c r="L422" i="2" s="1"/>
  <c r="J525" i="2"/>
  <c r="L525" i="2" s="1"/>
  <c r="J444" i="2"/>
  <c r="L444" i="2" s="1"/>
  <c r="J401" i="2"/>
  <c r="L401" i="2" s="1"/>
  <c r="J126" i="2"/>
  <c r="L126" i="2" s="1"/>
  <c r="J82" i="2"/>
  <c r="L82" i="2" s="1"/>
  <c r="J415" i="2"/>
  <c r="L415" i="2" s="1"/>
  <c r="J445" i="2"/>
  <c r="L445" i="2" s="1"/>
  <c r="J220" i="2"/>
  <c r="L220" i="2" s="1"/>
  <c r="J526" i="2"/>
  <c r="L526" i="2" s="1"/>
  <c r="J91" i="2"/>
  <c r="L91" i="2" s="1"/>
  <c r="J28" i="2"/>
  <c r="L28" i="2" s="1"/>
  <c r="J527" i="2"/>
  <c r="L527" i="2" s="1"/>
  <c r="J174" i="2"/>
  <c r="L174" i="2" s="1"/>
  <c r="J423" i="2"/>
  <c r="L423" i="2" s="1"/>
  <c r="J266" i="2"/>
  <c r="L266" i="2" s="1"/>
  <c r="J500" i="2"/>
  <c r="L500" i="2" s="1"/>
  <c r="J446" i="2"/>
  <c r="L446" i="2" s="1"/>
  <c r="J142" i="2"/>
  <c r="L142" i="2" s="1"/>
  <c r="J175" i="2"/>
  <c r="L175" i="2" s="1"/>
  <c r="J348" i="2"/>
  <c r="L348" i="2" s="1"/>
  <c r="J416" i="2"/>
  <c r="L416" i="2" s="1"/>
  <c r="J232" i="2"/>
  <c r="L232" i="2" s="1"/>
  <c r="J92" i="2"/>
  <c r="L92" i="2" s="1"/>
  <c r="J221" i="2"/>
  <c r="L221" i="2" s="1"/>
  <c r="J510" i="2"/>
  <c r="L510" i="2" s="1"/>
  <c r="J176" i="2"/>
  <c r="L176" i="2" s="1"/>
  <c r="J501" i="2"/>
  <c r="L501" i="2" s="1"/>
  <c r="J467" i="2"/>
  <c r="L467" i="2" s="1"/>
  <c r="J424" i="2"/>
  <c r="L424" i="2" s="1"/>
  <c r="J222" i="2"/>
  <c r="L222" i="2" s="1"/>
  <c r="J305" i="2"/>
  <c r="L305" i="2" s="1"/>
  <c r="J210" i="2"/>
  <c r="L210" i="2" s="1"/>
  <c r="J306" i="2"/>
  <c r="L306" i="2" s="1"/>
  <c r="J29" i="2"/>
  <c r="L29" i="2" s="1"/>
  <c r="J143" i="2"/>
  <c r="L143" i="2" s="1"/>
  <c r="J198" i="2"/>
  <c r="L198" i="2" s="1"/>
  <c r="J402" i="2"/>
  <c r="L402" i="2" s="1"/>
  <c r="J233" i="2"/>
  <c r="L233" i="2" s="1"/>
  <c r="J425" i="2"/>
  <c r="L425" i="2" s="1"/>
  <c r="J55" i="2"/>
  <c r="L55" i="2" s="1"/>
  <c r="J371" i="2"/>
  <c r="L371" i="2" s="1"/>
  <c r="J403" i="2"/>
  <c r="L403" i="2" s="1"/>
  <c r="J355" i="2"/>
  <c r="L355" i="2" s="1"/>
  <c r="J177" i="2"/>
  <c r="L177" i="2" s="1"/>
  <c r="J320" i="2"/>
  <c r="L320" i="2" s="1"/>
  <c r="J290" i="2"/>
  <c r="L290" i="2" s="1"/>
  <c r="J528" i="2"/>
  <c r="L528" i="2" s="1"/>
  <c r="J447" i="2"/>
  <c r="L447" i="2" s="1"/>
  <c r="J192" i="2"/>
  <c r="L192" i="2" s="1"/>
  <c r="J448" i="2"/>
  <c r="L448" i="2" s="1"/>
  <c r="J307" i="2"/>
  <c r="L307" i="2" s="1"/>
  <c r="J153" i="2"/>
  <c r="L153" i="2" s="1"/>
  <c r="J164" i="2"/>
  <c r="L164" i="2" s="1"/>
  <c r="J349" i="2"/>
  <c r="L349" i="2" s="1"/>
  <c r="J481" i="2"/>
  <c r="L481" i="2" s="1"/>
  <c r="J69" i="2"/>
  <c r="L69" i="2" s="1"/>
  <c r="J102" i="2"/>
  <c r="L102" i="2" s="1"/>
  <c r="J529" i="2"/>
  <c r="L529" i="2" s="1"/>
  <c r="J127" i="2"/>
  <c r="L127" i="2" s="1"/>
  <c r="J103" i="2"/>
  <c r="L103" i="2" s="1"/>
  <c r="J77" i="2"/>
  <c r="L77" i="2" s="1"/>
  <c r="J93" i="2"/>
  <c r="L93" i="2" s="1"/>
  <c r="J502" i="2"/>
  <c r="L502" i="2" s="1"/>
  <c r="J482" i="2"/>
  <c r="L482" i="2" s="1"/>
  <c r="J384" i="2"/>
  <c r="L384" i="2" s="1"/>
  <c r="J128" i="2"/>
  <c r="L128" i="2" s="1"/>
  <c r="J129" i="2"/>
  <c r="L129" i="2" s="1"/>
  <c r="I261" i="2"/>
  <c r="I435" i="2"/>
  <c r="I145" i="2"/>
  <c r="I41" i="2"/>
  <c r="I404" i="2"/>
  <c r="I350" i="2"/>
  <c r="I30" i="2"/>
  <c r="I267" i="2"/>
  <c r="I426" i="2"/>
  <c r="I154" i="2"/>
  <c r="I483" i="2"/>
  <c r="I484" i="2"/>
  <c r="I511" i="2"/>
  <c r="I251" i="2"/>
  <c r="I405" i="2"/>
  <c r="I385" i="2"/>
  <c r="I223" i="2"/>
  <c r="I42" i="2"/>
  <c r="I31" i="2"/>
  <c r="I485" i="2"/>
  <c r="I386" i="2"/>
  <c r="I406" i="2"/>
  <c r="I351" i="2"/>
  <c r="I512" i="2"/>
  <c r="I70" i="2"/>
  <c r="I2" i="2"/>
  <c r="I458" i="2"/>
  <c r="I356" i="2"/>
  <c r="I43" i="2"/>
  <c r="I321" i="2"/>
  <c r="I104" i="2"/>
  <c r="I178" i="2"/>
  <c r="I243" i="2"/>
  <c r="I427" i="2"/>
  <c r="I503" i="2"/>
  <c r="I56" i="2"/>
  <c r="I504" i="2"/>
  <c r="I407" i="2"/>
  <c r="I387" i="2"/>
  <c r="I83" i="2"/>
  <c r="I252" i="2"/>
  <c r="I291" i="2"/>
  <c r="I165" i="2"/>
  <c r="I336" i="2"/>
  <c r="I146" i="2"/>
  <c r="I268" i="2"/>
  <c r="I57" i="2"/>
  <c r="I15" i="2"/>
  <c r="I357" i="2"/>
  <c r="I337" i="2"/>
  <c r="I199" i="2"/>
  <c r="I116" i="2"/>
  <c r="I234" i="2"/>
  <c r="I292" i="2"/>
  <c r="I513" i="2"/>
  <c r="I322" i="2"/>
  <c r="I269" i="2"/>
  <c r="I308" i="2"/>
  <c r="I449" i="2"/>
  <c r="I130" i="2"/>
  <c r="I486" i="2"/>
  <c r="I309" i="2"/>
  <c r="I224" i="2"/>
  <c r="I450" i="2"/>
  <c r="I16" i="2"/>
  <c r="I131" i="2"/>
  <c r="I262" i="2"/>
  <c r="I71" i="2"/>
  <c r="I323" i="2"/>
  <c r="I436" i="2"/>
  <c r="I3" i="2"/>
  <c r="I487" i="2"/>
  <c r="I105" i="2"/>
  <c r="I338" i="2"/>
  <c r="I78" i="2"/>
  <c r="I437" i="2"/>
  <c r="I488" i="2"/>
  <c r="I459" i="2"/>
  <c r="I94" i="2"/>
  <c r="I352" i="2"/>
  <c r="I58" i="2"/>
  <c r="I244" i="2"/>
  <c r="I428" i="2"/>
  <c r="I324" i="2"/>
  <c r="I293" i="2"/>
  <c r="I372" i="2"/>
  <c r="I193" i="2"/>
  <c r="I200" i="2"/>
  <c r="I438" i="2"/>
  <c r="I211" i="2"/>
  <c r="I489" i="2"/>
  <c r="I310" i="2"/>
  <c r="I339" i="2"/>
  <c r="I429" i="2"/>
  <c r="I340" i="2"/>
  <c r="I325" i="2"/>
  <c r="I201" i="2"/>
  <c r="I490" i="2"/>
  <c r="I388" i="2"/>
  <c r="I166" i="2"/>
  <c r="I155" i="2"/>
  <c r="I95" i="2"/>
  <c r="I84" i="2"/>
  <c r="I96" i="2"/>
  <c r="I202" i="2"/>
  <c r="I179" i="2"/>
  <c r="I311" i="2"/>
  <c r="I180" i="2"/>
  <c r="I408" i="2"/>
  <c r="I326" i="2"/>
  <c r="I491" i="2"/>
  <c r="I460" i="2"/>
  <c r="I253" i="2"/>
  <c r="I147" i="2"/>
  <c r="I235" i="2"/>
  <c r="I225" i="2"/>
  <c r="I226" i="2"/>
  <c r="I245" i="2"/>
  <c r="I409" i="2"/>
  <c r="I373" i="2"/>
  <c r="I312" i="2"/>
  <c r="I44" i="2"/>
  <c r="I4" i="2"/>
  <c r="I358" i="2"/>
  <c r="I468" i="2"/>
  <c r="I270" i="2"/>
  <c r="I212" i="2"/>
  <c r="I167" i="2"/>
  <c r="I451" i="2"/>
  <c r="I271" i="2"/>
  <c r="I469" i="2"/>
  <c r="I181" i="2"/>
  <c r="I182" i="2"/>
  <c r="I117" i="2"/>
  <c r="I97" i="2"/>
  <c r="I59" i="2"/>
  <c r="I236" i="2"/>
  <c r="I410" i="2"/>
  <c r="I156" i="2"/>
  <c r="I60" i="2"/>
  <c r="I106" i="2"/>
  <c r="I374" i="2"/>
  <c r="I32" i="2"/>
  <c r="I17" i="2"/>
  <c r="I470" i="2"/>
  <c r="I45" i="2"/>
  <c r="I389" i="2"/>
  <c r="I98" i="2"/>
  <c r="I213" i="2"/>
  <c r="I254" i="2"/>
  <c r="I294" i="2"/>
  <c r="I439" i="2"/>
  <c r="I505" i="2"/>
  <c r="I327" i="2"/>
  <c r="I277" i="2"/>
  <c r="I263" i="2"/>
  <c r="I417" i="2"/>
  <c r="I430" i="2"/>
  <c r="I99" i="2"/>
  <c r="I514" i="2"/>
  <c r="I5" i="2"/>
  <c r="I255" i="2"/>
  <c r="I246" i="2"/>
  <c r="I390" i="2"/>
  <c r="I313" i="2"/>
  <c r="I431" i="2"/>
  <c r="I61" i="2"/>
  <c r="I515" i="2"/>
  <c r="I72" i="2"/>
  <c r="I256" i="2"/>
  <c r="I118" i="2"/>
  <c r="I295" i="2"/>
  <c r="I33" i="2"/>
  <c r="I272" i="2"/>
  <c r="I227" i="2"/>
  <c r="I353" i="2"/>
  <c r="I314" i="2"/>
  <c r="I452" i="2"/>
  <c r="I391" i="2"/>
  <c r="I148" i="2"/>
  <c r="I6" i="2"/>
  <c r="I411" i="2"/>
  <c r="I264" i="2"/>
  <c r="I34" i="2"/>
  <c r="I471" i="2"/>
  <c r="I315" i="2"/>
  <c r="I257" i="2"/>
  <c r="I359" i="2"/>
  <c r="I214" i="2"/>
  <c r="I516" i="2"/>
  <c r="I341" i="2"/>
  <c r="I7" i="2"/>
  <c r="I278" i="2"/>
  <c r="I8" i="2"/>
  <c r="I472" i="2"/>
  <c r="I492" i="2"/>
  <c r="I493" i="2"/>
  <c r="I228" i="2"/>
  <c r="I461" i="2"/>
  <c r="I18" i="2"/>
  <c r="I203" i="2"/>
  <c r="I237" i="2"/>
  <c r="I392" i="2"/>
  <c r="I157" i="2"/>
  <c r="I73" i="2"/>
  <c r="I342" i="2"/>
  <c r="I158" i="2"/>
  <c r="I215" i="2"/>
  <c r="I412" i="2"/>
  <c r="I418" i="2"/>
  <c r="I279" i="2"/>
  <c r="I440" i="2"/>
  <c r="I360" i="2"/>
  <c r="I413" i="2"/>
  <c r="I119" i="2"/>
  <c r="I296" i="2"/>
  <c r="I9" i="2"/>
  <c r="I273" i="2"/>
  <c r="I238" i="2"/>
  <c r="I120" i="2"/>
  <c r="I265" i="2"/>
  <c r="I100" i="2"/>
  <c r="I121" i="2"/>
  <c r="I517" i="2"/>
  <c r="I46" i="2"/>
  <c r="I85" i="2"/>
  <c r="I441" i="2"/>
  <c r="I239" i="2"/>
  <c r="I149" i="2"/>
  <c r="I419" i="2"/>
  <c r="I79" i="2"/>
  <c r="I494" i="2"/>
  <c r="I462" i="2"/>
  <c r="I107" i="2"/>
  <c r="I393" i="2"/>
  <c r="I86" i="2"/>
  <c r="I159" i="2"/>
  <c r="I74" i="2"/>
  <c r="I132" i="2"/>
  <c r="I463" i="2"/>
  <c r="I453" i="2"/>
  <c r="I183" i="2"/>
  <c r="I394" i="2"/>
  <c r="I216" i="2"/>
  <c r="I47" i="2"/>
  <c r="I108" i="2"/>
  <c r="I150" i="2"/>
  <c r="I518" i="2"/>
  <c r="I495" i="2"/>
  <c r="I35" i="2"/>
  <c r="I247" i="2"/>
  <c r="I258" i="2"/>
  <c r="I328" i="2"/>
  <c r="I122" i="2"/>
  <c r="I133" i="2"/>
  <c r="I280" i="2"/>
  <c r="I496" i="2"/>
  <c r="I420" i="2"/>
  <c r="I473" i="2"/>
  <c r="I329" i="2"/>
  <c r="I330" i="2"/>
  <c r="I109" i="2"/>
  <c r="I248" i="2"/>
  <c r="I110" i="2"/>
  <c r="I168" i="2"/>
  <c r="I375" i="2"/>
  <c r="I506" i="2"/>
  <c r="I134" i="2"/>
  <c r="I331" i="2"/>
  <c r="I361" i="2"/>
  <c r="I395" i="2"/>
  <c r="I362" i="2"/>
  <c r="I217" i="2"/>
  <c r="I123" i="2"/>
  <c r="I249" i="2"/>
  <c r="I160" i="2"/>
  <c r="I464" i="2"/>
  <c r="I87" i="2"/>
  <c r="I240" i="2"/>
  <c r="I161" i="2"/>
  <c r="I10" i="2"/>
  <c r="I19" i="2"/>
  <c r="I497" i="2"/>
  <c r="I343" i="2"/>
  <c r="I194" i="2"/>
  <c r="I184" i="2"/>
  <c r="I259" i="2"/>
  <c r="I474" i="2"/>
  <c r="I62" i="2"/>
  <c r="I162" i="2"/>
  <c r="I204" i="2"/>
  <c r="I20" i="2"/>
  <c r="I63" i="2"/>
  <c r="I48" i="2"/>
  <c r="I363" i="2"/>
  <c r="I111" i="2"/>
  <c r="I281" i="2"/>
  <c r="I316" i="2"/>
  <c r="I364" i="2"/>
  <c r="I21" i="2"/>
  <c r="I135" i="2"/>
  <c r="I151" i="2"/>
  <c r="I185" i="2"/>
  <c r="I421" i="2"/>
  <c r="I136" i="2"/>
  <c r="I64" i="2"/>
  <c r="I432" i="2"/>
  <c r="I282" i="2"/>
  <c r="I49" i="2"/>
  <c r="I36" i="2"/>
  <c r="I519" i="2"/>
  <c r="I344" i="2"/>
  <c r="I50" i="2"/>
  <c r="I376" i="2"/>
  <c r="I186" i="2"/>
  <c r="I283" i="2"/>
  <c r="I218" i="2"/>
  <c r="I297" i="2"/>
  <c r="I475" i="2"/>
  <c r="I365" i="2"/>
  <c r="I11" i="2"/>
  <c r="I345" i="2"/>
  <c r="I366" i="2"/>
  <c r="I12" i="2"/>
  <c r="I22" i="2"/>
  <c r="I23" i="2"/>
  <c r="I465" i="2"/>
  <c r="I284" i="2"/>
  <c r="I454" i="2"/>
  <c r="I24" i="2"/>
  <c r="I187" i="2"/>
  <c r="I476" i="2"/>
  <c r="I205" i="2"/>
  <c r="I137" i="2"/>
  <c r="I346" i="2"/>
  <c r="I285" i="2"/>
  <c r="I520" i="2"/>
  <c r="I396" i="2"/>
  <c r="I51" i="2"/>
  <c r="I37" i="2"/>
  <c r="I298" i="2"/>
  <c r="I163" i="2"/>
  <c r="I188" i="2"/>
  <c r="I299" i="2"/>
  <c r="I397" i="2"/>
  <c r="I377" i="2"/>
  <c r="I152" i="2"/>
  <c r="I229" i="2"/>
  <c r="I398" i="2"/>
  <c r="I169" i="2"/>
  <c r="I300" i="2"/>
  <c r="I250" i="2"/>
  <c r="I195" i="2"/>
  <c r="I101" i="2"/>
  <c r="I124" i="2"/>
  <c r="I138" i="2"/>
  <c r="I88" i="2"/>
  <c r="I230" i="2"/>
  <c r="I112" i="2"/>
  <c r="I354" i="2"/>
  <c r="I301" i="2"/>
  <c r="I302" i="2"/>
  <c r="I442" i="2"/>
  <c r="I521" i="2"/>
  <c r="I170" i="2"/>
  <c r="I25" i="2"/>
  <c r="I317" i="2"/>
  <c r="I303" i="2"/>
  <c r="I477" i="2"/>
  <c r="I89" i="2"/>
  <c r="I113" i="2"/>
  <c r="I52" i="2"/>
  <c r="I231" i="2"/>
  <c r="I522" i="2"/>
  <c r="I65" i="2"/>
  <c r="I378" i="2"/>
  <c r="I90" i="2"/>
  <c r="I318" i="2"/>
  <c r="I455" i="2"/>
  <c r="I241" i="2"/>
  <c r="I286" i="2"/>
  <c r="I498" i="2"/>
  <c r="I332" i="2"/>
  <c r="I26" i="2"/>
  <c r="I196" i="2"/>
  <c r="I466" i="2"/>
  <c r="I13" i="2"/>
  <c r="I53" i="2"/>
  <c r="I206" i="2"/>
  <c r="I139" i="2"/>
  <c r="I399" i="2"/>
  <c r="I507" i="2"/>
  <c r="I379" i="2"/>
  <c r="I80" i="2"/>
  <c r="I274" i="2"/>
  <c r="I171" i="2"/>
  <c r="I478" i="2"/>
  <c r="I207" i="2"/>
  <c r="I367" i="2"/>
  <c r="I319" i="2"/>
  <c r="I275" i="2"/>
  <c r="I380" i="2"/>
  <c r="I54" i="2"/>
  <c r="I479" i="2"/>
  <c r="I114" i="2"/>
  <c r="I499" i="2"/>
  <c r="I400" i="2"/>
  <c r="I208" i="2"/>
  <c r="I75" i="2"/>
  <c r="I304" i="2"/>
  <c r="I523" i="2"/>
  <c r="I197" i="2"/>
  <c r="I38" i="2"/>
  <c r="I39" i="2"/>
  <c r="I287" i="2"/>
  <c r="I140" i="2"/>
  <c r="I189" i="2"/>
  <c r="I190" i="2"/>
  <c r="I368" i="2"/>
  <c r="I242" i="2"/>
  <c r="I347" i="2"/>
  <c r="I125" i="2"/>
  <c r="I172" i="2"/>
  <c r="I333" i="2"/>
  <c r="I115" i="2"/>
  <c r="I81" i="2"/>
  <c r="I260" i="2"/>
  <c r="I381" i="2"/>
  <c r="I191" i="2"/>
  <c r="I524" i="2"/>
  <c r="I334" i="2"/>
  <c r="I66" i="2"/>
  <c r="I219" i="2"/>
  <c r="I433" i="2"/>
  <c r="I456" i="2"/>
  <c r="I67" i="2"/>
  <c r="I457" i="2"/>
  <c r="I76" i="2"/>
  <c r="I508" i="2"/>
  <c r="I276" i="2"/>
  <c r="I173" i="2"/>
  <c r="I27" i="2"/>
  <c r="I68" i="2"/>
  <c r="I480" i="2"/>
  <c r="I40" i="2"/>
  <c r="I414" i="2"/>
  <c r="I443" i="2"/>
  <c r="I335" i="2"/>
  <c r="I434" i="2"/>
  <c r="I288" i="2"/>
  <c r="I382" i="2"/>
  <c r="I383" i="2"/>
  <c r="I14" i="2"/>
  <c r="I209" i="2"/>
  <c r="I289" i="2"/>
  <c r="I509" i="2"/>
  <c r="I141" i="2"/>
  <c r="I369" i="2"/>
  <c r="I370" i="2"/>
  <c r="I422" i="2"/>
  <c r="I525" i="2"/>
  <c r="I444" i="2"/>
  <c r="I401" i="2"/>
  <c r="I126" i="2"/>
  <c r="I82" i="2"/>
  <c r="I415" i="2"/>
  <c r="I445" i="2"/>
  <c r="I220" i="2"/>
  <c r="I526" i="2"/>
  <c r="I91" i="2"/>
  <c r="I28" i="2"/>
  <c r="I527" i="2"/>
  <c r="I174" i="2"/>
  <c r="I423" i="2"/>
  <c r="I266" i="2"/>
  <c r="I500" i="2"/>
  <c r="I446" i="2"/>
  <c r="I142" i="2"/>
  <c r="I175" i="2"/>
  <c r="I348" i="2"/>
  <c r="I416" i="2"/>
  <c r="I232" i="2"/>
  <c r="I92" i="2"/>
  <c r="I221" i="2"/>
  <c r="I510" i="2"/>
  <c r="I176" i="2"/>
  <c r="I501" i="2"/>
  <c r="I467" i="2"/>
  <c r="I424" i="2"/>
  <c r="I222" i="2"/>
  <c r="I305" i="2"/>
  <c r="I210" i="2"/>
  <c r="I306" i="2"/>
  <c r="I29" i="2"/>
  <c r="I143" i="2"/>
  <c r="I198" i="2"/>
  <c r="I402" i="2"/>
  <c r="I233" i="2"/>
  <c r="I425" i="2"/>
  <c r="I55" i="2"/>
  <c r="I371" i="2"/>
  <c r="I403" i="2"/>
  <c r="I355" i="2"/>
  <c r="I177" i="2"/>
  <c r="I320" i="2"/>
  <c r="I290" i="2"/>
  <c r="I528" i="2"/>
  <c r="I447" i="2"/>
  <c r="I192" i="2"/>
  <c r="I448" i="2"/>
  <c r="I307" i="2"/>
  <c r="I153" i="2"/>
  <c r="I164" i="2"/>
  <c r="I349" i="2"/>
  <c r="I481" i="2"/>
  <c r="I69" i="2"/>
  <c r="I102" i="2"/>
  <c r="I529" i="2"/>
  <c r="I127" i="2"/>
  <c r="I103" i="2"/>
  <c r="I77" i="2"/>
  <c r="I93" i="2"/>
  <c r="I502" i="2"/>
  <c r="I482" i="2"/>
  <c r="I384" i="2"/>
  <c r="I128" i="2"/>
  <c r="I129" i="2"/>
  <c r="H261" i="2"/>
  <c r="H435" i="2"/>
  <c r="H145" i="2"/>
  <c r="H41" i="2"/>
  <c r="H404" i="2"/>
  <c r="H350" i="2"/>
  <c r="H30" i="2"/>
  <c r="H267" i="2"/>
  <c r="H426" i="2"/>
  <c r="H154" i="2"/>
  <c r="H483" i="2"/>
  <c r="H484" i="2"/>
  <c r="H511" i="2"/>
  <c r="H251" i="2"/>
  <c r="H405" i="2"/>
  <c r="H385" i="2"/>
  <c r="H223" i="2"/>
  <c r="H42" i="2"/>
  <c r="H31" i="2"/>
  <c r="H485" i="2"/>
  <c r="H386" i="2"/>
  <c r="H406" i="2"/>
  <c r="H351" i="2"/>
  <c r="H512" i="2"/>
  <c r="H70" i="2"/>
  <c r="H2" i="2"/>
  <c r="H458" i="2"/>
  <c r="H356" i="2"/>
  <c r="H43" i="2"/>
  <c r="H321" i="2"/>
  <c r="H104" i="2"/>
  <c r="H178" i="2"/>
  <c r="H243" i="2"/>
  <c r="H427" i="2"/>
  <c r="H503" i="2"/>
  <c r="H56" i="2"/>
  <c r="H504" i="2"/>
  <c r="H407" i="2"/>
  <c r="H387" i="2"/>
  <c r="H83" i="2"/>
  <c r="H252" i="2"/>
  <c r="H291" i="2"/>
  <c r="H165" i="2"/>
  <c r="H336" i="2"/>
  <c r="H146" i="2"/>
  <c r="H268" i="2"/>
  <c r="H57" i="2"/>
  <c r="H15" i="2"/>
  <c r="H357" i="2"/>
  <c r="H337" i="2"/>
  <c r="H199" i="2"/>
  <c r="H116" i="2"/>
  <c r="H234" i="2"/>
  <c r="H292" i="2"/>
  <c r="H513" i="2"/>
  <c r="H322" i="2"/>
  <c r="H269" i="2"/>
  <c r="H308" i="2"/>
  <c r="H449" i="2"/>
  <c r="H130" i="2"/>
  <c r="H486" i="2"/>
  <c r="H309" i="2"/>
  <c r="H224" i="2"/>
  <c r="H450" i="2"/>
  <c r="H16" i="2"/>
  <c r="H131" i="2"/>
  <c r="H262" i="2"/>
  <c r="H71" i="2"/>
  <c r="H323" i="2"/>
  <c r="H436" i="2"/>
  <c r="H3" i="2"/>
  <c r="H487" i="2"/>
  <c r="H105" i="2"/>
  <c r="H338" i="2"/>
  <c r="H78" i="2"/>
  <c r="H437" i="2"/>
  <c r="H488" i="2"/>
  <c r="H459" i="2"/>
  <c r="H94" i="2"/>
  <c r="H352" i="2"/>
  <c r="H58" i="2"/>
  <c r="H244" i="2"/>
  <c r="H428" i="2"/>
  <c r="H324" i="2"/>
  <c r="H293" i="2"/>
  <c r="H372" i="2"/>
  <c r="H193" i="2"/>
  <c r="H200" i="2"/>
  <c r="H438" i="2"/>
  <c r="H211" i="2"/>
  <c r="H489" i="2"/>
  <c r="H310" i="2"/>
  <c r="H339" i="2"/>
  <c r="H429" i="2"/>
  <c r="H340" i="2"/>
  <c r="H325" i="2"/>
  <c r="H201" i="2"/>
  <c r="H490" i="2"/>
  <c r="H388" i="2"/>
  <c r="H166" i="2"/>
  <c r="H155" i="2"/>
  <c r="H95" i="2"/>
  <c r="H84" i="2"/>
  <c r="H96" i="2"/>
  <c r="H202" i="2"/>
  <c r="H179" i="2"/>
  <c r="H311" i="2"/>
  <c r="H180" i="2"/>
  <c r="H408" i="2"/>
  <c r="H326" i="2"/>
  <c r="H491" i="2"/>
  <c r="H460" i="2"/>
  <c r="H253" i="2"/>
  <c r="H147" i="2"/>
  <c r="H235" i="2"/>
  <c r="H225" i="2"/>
  <c r="H226" i="2"/>
  <c r="H245" i="2"/>
  <c r="H409" i="2"/>
  <c r="H373" i="2"/>
  <c r="H312" i="2"/>
  <c r="H44" i="2"/>
  <c r="H4" i="2"/>
  <c r="H358" i="2"/>
  <c r="H468" i="2"/>
  <c r="H270" i="2"/>
  <c r="H212" i="2"/>
  <c r="H167" i="2"/>
  <c r="H451" i="2"/>
  <c r="H271" i="2"/>
  <c r="H469" i="2"/>
  <c r="H181" i="2"/>
  <c r="H182" i="2"/>
  <c r="H117" i="2"/>
  <c r="H97" i="2"/>
  <c r="H59" i="2"/>
  <c r="H236" i="2"/>
  <c r="H410" i="2"/>
  <c r="H156" i="2"/>
  <c r="H60" i="2"/>
  <c r="H106" i="2"/>
  <c r="H374" i="2"/>
  <c r="H32" i="2"/>
  <c r="H17" i="2"/>
  <c r="H470" i="2"/>
  <c r="H45" i="2"/>
  <c r="H389" i="2"/>
  <c r="H98" i="2"/>
  <c r="H213" i="2"/>
  <c r="H254" i="2"/>
  <c r="H294" i="2"/>
  <c r="H439" i="2"/>
  <c r="H505" i="2"/>
  <c r="H327" i="2"/>
  <c r="H277" i="2"/>
  <c r="H263" i="2"/>
  <c r="H417" i="2"/>
  <c r="H430" i="2"/>
  <c r="H99" i="2"/>
  <c r="H514" i="2"/>
  <c r="H5" i="2"/>
  <c r="H255" i="2"/>
  <c r="H246" i="2"/>
  <c r="H390" i="2"/>
  <c r="H313" i="2"/>
  <c r="H431" i="2"/>
  <c r="H61" i="2"/>
  <c r="H515" i="2"/>
  <c r="H72" i="2"/>
  <c r="H256" i="2"/>
  <c r="H118" i="2"/>
  <c r="H295" i="2"/>
  <c r="H33" i="2"/>
  <c r="H272" i="2"/>
  <c r="H227" i="2"/>
  <c r="H353" i="2"/>
  <c r="H314" i="2"/>
  <c r="H452" i="2"/>
  <c r="H391" i="2"/>
  <c r="H148" i="2"/>
  <c r="H6" i="2"/>
  <c r="H411" i="2"/>
  <c r="H264" i="2"/>
  <c r="H34" i="2"/>
  <c r="H471" i="2"/>
  <c r="H315" i="2"/>
  <c r="H257" i="2"/>
  <c r="H359" i="2"/>
  <c r="H214" i="2"/>
  <c r="H516" i="2"/>
  <c r="H341" i="2"/>
  <c r="H7" i="2"/>
  <c r="H278" i="2"/>
  <c r="H8" i="2"/>
  <c r="H472" i="2"/>
  <c r="H492" i="2"/>
  <c r="H493" i="2"/>
  <c r="H228" i="2"/>
  <c r="H461" i="2"/>
  <c r="H18" i="2"/>
  <c r="H203" i="2"/>
  <c r="H237" i="2"/>
  <c r="H392" i="2"/>
  <c r="H157" i="2"/>
  <c r="H73" i="2"/>
  <c r="H342" i="2"/>
  <c r="H158" i="2"/>
  <c r="H215" i="2"/>
  <c r="H412" i="2"/>
  <c r="H418" i="2"/>
  <c r="H279" i="2"/>
  <c r="H440" i="2"/>
  <c r="H360" i="2"/>
  <c r="H413" i="2"/>
  <c r="H119" i="2"/>
  <c r="H296" i="2"/>
  <c r="H9" i="2"/>
  <c r="H273" i="2"/>
  <c r="H238" i="2"/>
  <c r="H120" i="2"/>
  <c r="H265" i="2"/>
  <c r="H100" i="2"/>
  <c r="H121" i="2"/>
  <c r="H517" i="2"/>
  <c r="H46" i="2"/>
  <c r="H85" i="2"/>
  <c r="H441" i="2"/>
  <c r="H239" i="2"/>
  <c r="H149" i="2"/>
  <c r="H419" i="2"/>
  <c r="H79" i="2"/>
  <c r="H494" i="2"/>
  <c r="H462" i="2"/>
  <c r="H107" i="2"/>
  <c r="H393" i="2"/>
  <c r="H86" i="2"/>
  <c r="H159" i="2"/>
  <c r="H74" i="2"/>
  <c r="H132" i="2"/>
  <c r="H463" i="2"/>
  <c r="H453" i="2"/>
  <c r="H183" i="2"/>
  <c r="H394" i="2"/>
  <c r="H216" i="2"/>
  <c r="H47" i="2"/>
  <c r="H108" i="2"/>
  <c r="H150" i="2"/>
  <c r="H518" i="2"/>
  <c r="H495" i="2"/>
  <c r="H35" i="2"/>
  <c r="H247" i="2"/>
  <c r="H258" i="2"/>
  <c r="H328" i="2"/>
  <c r="H122" i="2"/>
  <c r="H133" i="2"/>
  <c r="H280" i="2"/>
  <c r="H496" i="2"/>
  <c r="H420" i="2"/>
  <c r="H473" i="2"/>
  <c r="H329" i="2"/>
  <c r="H330" i="2"/>
  <c r="H109" i="2"/>
  <c r="H248" i="2"/>
  <c r="H110" i="2"/>
  <c r="H168" i="2"/>
  <c r="H375" i="2"/>
  <c r="H506" i="2"/>
  <c r="H134" i="2"/>
  <c r="H331" i="2"/>
  <c r="H361" i="2"/>
  <c r="H395" i="2"/>
  <c r="H362" i="2"/>
  <c r="H217" i="2"/>
  <c r="H123" i="2"/>
  <c r="H249" i="2"/>
  <c r="H160" i="2"/>
  <c r="H464" i="2"/>
  <c r="H87" i="2"/>
  <c r="H240" i="2"/>
  <c r="H161" i="2"/>
  <c r="H10" i="2"/>
  <c r="H19" i="2"/>
  <c r="H497" i="2"/>
  <c r="H343" i="2"/>
  <c r="H194" i="2"/>
  <c r="H184" i="2"/>
  <c r="H259" i="2"/>
  <c r="H474" i="2"/>
  <c r="H62" i="2"/>
  <c r="H162" i="2"/>
  <c r="H204" i="2"/>
  <c r="H20" i="2"/>
  <c r="H63" i="2"/>
  <c r="H48" i="2"/>
  <c r="H363" i="2"/>
  <c r="H111" i="2"/>
  <c r="H281" i="2"/>
  <c r="H316" i="2"/>
  <c r="H364" i="2"/>
  <c r="H21" i="2"/>
  <c r="H135" i="2"/>
  <c r="H151" i="2"/>
  <c r="H185" i="2"/>
  <c r="H421" i="2"/>
  <c r="H136" i="2"/>
  <c r="H64" i="2"/>
  <c r="H432" i="2"/>
  <c r="H282" i="2"/>
  <c r="H49" i="2"/>
  <c r="H36" i="2"/>
  <c r="H519" i="2"/>
  <c r="H344" i="2"/>
  <c r="H50" i="2"/>
  <c r="H376" i="2"/>
  <c r="H186" i="2"/>
  <c r="H283" i="2"/>
  <c r="H218" i="2"/>
  <c r="H297" i="2"/>
  <c r="H475" i="2"/>
  <c r="H365" i="2"/>
  <c r="H11" i="2"/>
  <c r="H345" i="2"/>
  <c r="H366" i="2"/>
  <c r="H12" i="2"/>
  <c r="H22" i="2"/>
  <c r="H23" i="2"/>
  <c r="H465" i="2"/>
  <c r="H284" i="2"/>
  <c r="H454" i="2"/>
  <c r="H24" i="2"/>
  <c r="H187" i="2"/>
  <c r="H476" i="2"/>
  <c r="H205" i="2"/>
  <c r="H137" i="2"/>
  <c r="H346" i="2"/>
  <c r="H285" i="2"/>
  <c r="H520" i="2"/>
  <c r="H396" i="2"/>
  <c r="H51" i="2"/>
  <c r="H37" i="2"/>
  <c r="H298" i="2"/>
  <c r="H163" i="2"/>
  <c r="H188" i="2"/>
  <c r="H299" i="2"/>
  <c r="H397" i="2"/>
  <c r="H377" i="2"/>
  <c r="H152" i="2"/>
  <c r="H229" i="2"/>
  <c r="H398" i="2"/>
  <c r="H169" i="2"/>
  <c r="H300" i="2"/>
  <c r="H250" i="2"/>
  <c r="H195" i="2"/>
  <c r="H101" i="2"/>
  <c r="H124" i="2"/>
  <c r="H138" i="2"/>
  <c r="H88" i="2"/>
  <c r="H230" i="2"/>
  <c r="H112" i="2"/>
  <c r="H354" i="2"/>
  <c r="H301" i="2"/>
  <c r="H302" i="2"/>
  <c r="H442" i="2"/>
  <c r="H521" i="2"/>
  <c r="H170" i="2"/>
  <c r="H25" i="2"/>
  <c r="H317" i="2"/>
  <c r="H303" i="2"/>
  <c r="H477" i="2"/>
  <c r="H89" i="2"/>
  <c r="H113" i="2"/>
  <c r="H52" i="2"/>
  <c r="H231" i="2"/>
  <c r="H522" i="2"/>
  <c r="H65" i="2"/>
  <c r="H378" i="2"/>
  <c r="H90" i="2"/>
  <c r="H318" i="2"/>
  <c r="H455" i="2"/>
  <c r="H241" i="2"/>
  <c r="H286" i="2"/>
  <c r="H498" i="2"/>
  <c r="H332" i="2"/>
  <c r="H26" i="2"/>
  <c r="H196" i="2"/>
  <c r="H466" i="2"/>
  <c r="H13" i="2"/>
  <c r="H53" i="2"/>
  <c r="H206" i="2"/>
  <c r="H139" i="2"/>
  <c r="H399" i="2"/>
  <c r="H507" i="2"/>
  <c r="H379" i="2"/>
  <c r="H80" i="2"/>
  <c r="H274" i="2"/>
  <c r="H171" i="2"/>
  <c r="H478" i="2"/>
  <c r="H207" i="2"/>
  <c r="H367" i="2"/>
  <c r="H319" i="2"/>
  <c r="H275" i="2"/>
  <c r="H380" i="2"/>
  <c r="H54" i="2"/>
  <c r="H479" i="2"/>
  <c r="H114" i="2"/>
  <c r="H499" i="2"/>
  <c r="H400" i="2"/>
  <c r="H208" i="2"/>
  <c r="H75" i="2"/>
  <c r="H304" i="2"/>
  <c r="H523" i="2"/>
  <c r="H197" i="2"/>
  <c r="H38" i="2"/>
  <c r="H39" i="2"/>
  <c r="H287" i="2"/>
  <c r="H140" i="2"/>
  <c r="H189" i="2"/>
  <c r="H190" i="2"/>
  <c r="H368" i="2"/>
  <c r="H242" i="2"/>
  <c r="H347" i="2"/>
  <c r="H125" i="2"/>
  <c r="H172" i="2"/>
  <c r="H333" i="2"/>
  <c r="H115" i="2"/>
  <c r="H81" i="2"/>
  <c r="H260" i="2"/>
  <c r="H381" i="2"/>
  <c r="H191" i="2"/>
  <c r="H524" i="2"/>
  <c r="H334" i="2"/>
  <c r="H66" i="2"/>
  <c r="H219" i="2"/>
  <c r="H433" i="2"/>
  <c r="H456" i="2"/>
  <c r="H67" i="2"/>
  <c r="H457" i="2"/>
  <c r="H76" i="2"/>
  <c r="H508" i="2"/>
  <c r="H276" i="2"/>
  <c r="H173" i="2"/>
  <c r="H27" i="2"/>
  <c r="H68" i="2"/>
  <c r="H480" i="2"/>
  <c r="H40" i="2"/>
  <c r="H414" i="2"/>
  <c r="H443" i="2"/>
  <c r="H335" i="2"/>
  <c r="H434" i="2"/>
  <c r="H288" i="2"/>
  <c r="H382" i="2"/>
  <c r="H383" i="2"/>
  <c r="H14" i="2"/>
  <c r="H209" i="2"/>
  <c r="H289" i="2"/>
  <c r="H509" i="2"/>
  <c r="H141" i="2"/>
  <c r="H369" i="2"/>
  <c r="H370" i="2"/>
  <c r="H422" i="2"/>
  <c r="H525" i="2"/>
  <c r="H444" i="2"/>
  <c r="H401" i="2"/>
  <c r="H126" i="2"/>
  <c r="H82" i="2"/>
  <c r="H415" i="2"/>
  <c r="H445" i="2"/>
  <c r="H220" i="2"/>
  <c r="H526" i="2"/>
  <c r="H91" i="2"/>
  <c r="H28" i="2"/>
  <c r="H527" i="2"/>
  <c r="H174" i="2"/>
  <c r="H423" i="2"/>
  <c r="H266" i="2"/>
  <c r="H500" i="2"/>
  <c r="H446" i="2"/>
  <c r="H142" i="2"/>
  <c r="H175" i="2"/>
  <c r="H348" i="2"/>
  <c r="H416" i="2"/>
  <c r="H232" i="2"/>
  <c r="H92" i="2"/>
  <c r="H221" i="2"/>
  <c r="H510" i="2"/>
  <c r="H176" i="2"/>
  <c r="H501" i="2"/>
  <c r="H467" i="2"/>
  <c r="H424" i="2"/>
  <c r="H222" i="2"/>
  <c r="H305" i="2"/>
  <c r="H210" i="2"/>
  <c r="H306" i="2"/>
  <c r="H29" i="2"/>
  <c r="H143" i="2"/>
  <c r="H198" i="2"/>
  <c r="H402" i="2"/>
  <c r="H233" i="2"/>
  <c r="H425" i="2"/>
  <c r="H55" i="2"/>
  <c r="H371" i="2"/>
  <c r="H403" i="2"/>
  <c r="H355" i="2"/>
  <c r="H177" i="2"/>
  <c r="H320" i="2"/>
  <c r="H290" i="2"/>
  <c r="H528" i="2"/>
  <c r="H447" i="2"/>
  <c r="H192" i="2"/>
  <c r="H448" i="2"/>
  <c r="H307" i="2"/>
  <c r="H153" i="2"/>
  <c r="H164" i="2"/>
  <c r="H349" i="2"/>
  <c r="H481" i="2"/>
  <c r="H69" i="2"/>
  <c r="H102" i="2"/>
  <c r="H529" i="2"/>
  <c r="H127" i="2"/>
  <c r="H103" i="2"/>
  <c r="H77" i="2"/>
  <c r="H93" i="2"/>
  <c r="H502" i="2"/>
  <c r="H482" i="2"/>
  <c r="H384" i="2"/>
  <c r="H128" i="2"/>
  <c r="H129" i="2"/>
  <c r="G435" i="2"/>
  <c r="G41" i="2"/>
  <c r="G404" i="2"/>
  <c r="G350" i="2"/>
  <c r="G30" i="2"/>
  <c r="G154" i="2"/>
  <c r="G483" i="2"/>
  <c r="G484" i="2"/>
  <c r="G511" i="2"/>
  <c r="G251" i="2"/>
  <c r="G405" i="2"/>
  <c r="G385" i="2"/>
  <c r="G223" i="2"/>
  <c r="G42" i="2"/>
  <c r="G31" i="2"/>
  <c r="G485" i="2"/>
  <c r="G386" i="2"/>
  <c r="G406" i="2"/>
  <c r="G351" i="2"/>
  <c r="G512" i="2"/>
  <c r="G70" i="2"/>
  <c r="G2" i="2"/>
  <c r="G458" i="2"/>
  <c r="G356" i="2"/>
  <c r="G43" i="2"/>
  <c r="G321" i="2"/>
  <c r="G104" i="2"/>
  <c r="G178" i="2"/>
  <c r="G243" i="2"/>
  <c r="G427" i="2"/>
  <c r="G503" i="2"/>
  <c r="G504" i="2"/>
  <c r="G407" i="2"/>
  <c r="G387" i="2"/>
  <c r="G83" i="2"/>
  <c r="G252" i="2"/>
  <c r="G291" i="2"/>
  <c r="G165" i="2"/>
  <c r="G336" i="2"/>
  <c r="G268" i="2"/>
  <c r="G15" i="2"/>
  <c r="G357" i="2"/>
  <c r="G337" i="2"/>
  <c r="G199" i="2"/>
  <c r="G116" i="2"/>
  <c r="G292" i="2"/>
  <c r="G513" i="2"/>
  <c r="G308" i="2"/>
  <c r="G449" i="2"/>
  <c r="G130" i="2"/>
  <c r="G486" i="2"/>
  <c r="G309" i="2"/>
  <c r="G224" i="2"/>
  <c r="G450" i="2"/>
  <c r="G16" i="2"/>
  <c r="G131" i="2"/>
  <c r="G262" i="2"/>
  <c r="G71" i="2"/>
  <c r="G436" i="2"/>
  <c r="G3" i="2"/>
  <c r="G487" i="2"/>
  <c r="G105" i="2"/>
  <c r="G338" i="2"/>
  <c r="G78" i="2"/>
  <c r="G437" i="2"/>
  <c r="G488" i="2"/>
  <c r="G459" i="2"/>
  <c r="G352" i="2"/>
  <c r="G244" i="2"/>
  <c r="G293" i="2"/>
  <c r="G372" i="2"/>
  <c r="G200" i="2"/>
  <c r="G438" i="2"/>
  <c r="G211" i="2"/>
  <c r="G489" i="2"/>
  <c r="G310" i="2"/>
  <c r="G339" i="2"/>
  <c r="G429" i="2"/>
  <c r="G340" i="2"/>
  <c r="G201" i="2"/>
  <c r="G490" i="2"/>
  <c r="G388" i="2"/>
  <c r="G166" i="2"/>
  <c r="G155" i="2"/>
  <c r="G95" i="2"/>
  <c r="G84" i="2"/>
  <c r="G202" i="2"/>
  <c r="G179" i="2"/>
  <c r="G311" i="2"/>
  <c r="G180" i="2"/>
  <c r="G408" i="2"/>
  <c r="G326" i="2"/>
  <c r="G491" i="2"/>
  <c r="G460" i="2"/>
  <c r="G253" i="2"/>
  <c r="G147" i="2"/>
  <c r="G225" i="2"/>
  <c r="G226" i="2"/>
  <c r="G245" i="2"/>
  <c r="G409" i="2"/>
  <c r="G312" i="2"/>
  <c r="G44" i="2"/>
  <c r="G4" i="2"/>
  <c r="G358" i="2"/>
  <c r="G270" i="2"/>
  <c r="G212" i="2"/>
  <c r="G167" i="2"/>
  <c r="G451" i="2"/>
  <c r="G271" i="2"/>
  <c r="G181" i="2"/>
  <c r="G182" i="2"/>
  <c r="G117" i="2"/>
  <c r="G410" i="2"/>
  <c r="G156" i="2"/>
  <c r="G106" i="2"/>
  <c r="G374" i="2"/>
  <c r="G32" i="2"/>
  <c r="G17" i="2"/>
  <c r="G45" i="2"/>
  <c r="G389" i="2"/>
  <c r="G213" i="2"/>
  <c r="G254" i="2"/>
  <c r="G294" i="2"/>
  <c r="G439" i="2"/>
  <c r="G505" i="2"/>
  <c r="G327" i="2"/>
  <c r="G277" i="2"/>
  <c r="G263" i="2"/>
  <c r="G417" i="2"/>
  <c r="G430" i="2"/>
  <c r="G514" i="2"/>
  <c r="G5" i="2"/>
  <c r="G255" i="2"/>
  <c r="G246" i="2"/>
  <c r="G390" i="2"/>
  <c r="G313" i="2"/>
  <c r="G431" i="2"/>
  <c r="G515" i="2"/>
  <c r="G72" i="2"/>
  <c r="G256" i="2"/>
  <c r="G118" i="2"/>
  <c r="G295" i="2"/>
  <c r="G33" i="2"/>
  <c r="G272" i="2"/>
  <c r="G227" i="2"/>
  <c r="G353" i="2"/>
  <c r="G314" i="2"/>
  <c r="G452" i="2"/>
  <c r="G391" i="2"/>
  <c r="G6" i="2"/>
  <c r="G411" i="2"/>
  <c r="G264" i="2"/>
  <c r="G34" i="2"/>
  <c r="G315" i="2"/>
  <c r="G257" i="2"/>
  <c r="G359" i="2"/>
  <c r="G214" i="2"/>
  <c r="G516" i="2"/>
  <c r="G341" i="2"/>
  <c r="G7" i="2"/>
  <c r="G278" i="2"/>
  <c r="G8" i="2"/>
  <c r="G492" i="2"/>
  <c r="G493" i="2"/>
  <c r="G228" i="2"/>
  <c r="G461" i="2"/>
  <c r="G18" i="2"/>
  <c r="G203" i="2"/>
  <c r="G237" i="2"/>
  <c r="G392" i="2"/>
  <c r="G157" i="2"/>
  <c r="G73" i="2"/>
  <c r="G342" i="2"/>
  <c r="G158" i="2"/>
  <c r="G215" i="2"/>
  <c r="G412" i="2"/>
  <c r="G418" i="2"/>
  <c r="G279" i="2"/>
  <c r="G440" i="2"/>
  <c r="G360" i="2"/>
  <c r="G413" i="2"/>
  <c r="G119" i="2"/>
  <c r="G296" i="2"/>
  <c r="G9" i="2"/>
  <c r="G273" i="2"/>
  <c r="G120" i="2"/>
  <c r="G265" i="2"/>
  <c r="G100" i="2"/>
  <c r="G121" i="2"/>
  <c r="G517" i="2"/>
  <c r="G46" i="2"/>
  <c r="G85" i="2"/>
  <c r="G441" i="2"/>
  <c r="G419" i="2"/>
  <c r="G79" i="2"/>
  <c r="G494" i="2"/>
  <c r="G462" i="2"/>
  <c r="G107" i="2"/>
  <c r="G393" i="2"/>
  <c r="G86" i="2"/>
  <c r="G159" i="2"/>
  <c r="G74" i="2"/>
  <c r="G132" i="2"/>
  <c r="G463" i="2"/>
  <c r="G453" i="2"/>
  <c r="G183" i="2"/>
  <c r="G394" i="2"/>
  <c r="G216" i="2"/>
  <c r="G47" i="2"/>
  <c r="G108" i="2"/>
  <c r="G518" i="2"/>
  <c r="G495" i="2"/>
  <c r="G35" i="2"/>
  <c r="G247" i="2"/>
  <c r="G258" i="2"/>
  <c r="G122" i="2"/>
  <c r="G133" i="2"/>
  <c r="G280" i="2"/>
  <c r="G496" i="2"/>
  <c r="G420" i="2"/>
  <c r="G109" i="2"/>
  <c r="G248" i="2"/>
  <c r="G110" i="2"/>
  <c r="G168" i="2"/>
  <c r="G375" i="2"/>
  <c r="G506" i="2"/>
  <c r="G134" i="2"/>
  <c r="G361" i="2"/>
  <c r="G395" i="2"/>
  <c r="G362" i="2"/>
  <c r="G217" i="2"/>
  <c r="G123" i="2"/>
  <c r="G249" i="2"/>
  <c r="G160" i="2"/>
  <c r="G464" i="2"/>
  <c r="G87" i="2"/>
  <c r="G161" i="2"/>
  <c r="G10" i="2"/>
  <c r="G19" i="2"/>
  <c r="G497" i="2"/>
  <c r="G343" i="2"/>
  <c r="G184" i="2"/>
  <c r="G259" i="2"/>
  <c r="G162" i="2"/>
  <c r="G204" i="2"/>
  <c r="G20" i="2"/>
  <c r="G48" i="2"/>
  <c r="G363" i="2"/>
  <c r="G111" i="2"/>
  <c r="G281" i="2"/>
  <c r="G316" i="2"/>
  <c r="G364" i="2"/>
  <c r="G21" i="2"/>
  <c r="G135" i="2"/>
  <c r="G151" i="2"/>
  <c r="G185" i="2"/>
  <c r="G421" i="2"/>
  <c r="G136" i="2"/>
  <c r="G64" i="2"/>
  <c r="G282" i="2"/>
  <c r="G49" i="2"/>
  <c r="G36" i="2"/>
  <c r="G519" i="2"/>
  <c r="G344" i="2"/>
  <c r="G50" i="2"/>
  <c r="G376" i="2"/>
  <c r="G186" i="2"/>
  <c r="G283" i="2"/>
  <c r="G218" i="2"/>
  <c r="G297" i="2"/>
  <c r="G365" i="2"/>
  <c r="G11" i="2"/>
  <c r="G345" i="2"/>
  <c r="G366" i="2"/>
  <c r="G12" i="2"/>
  <c r="G22" i="2"/>
  <c r="G23" i="2"/>
  <c r="G465" i="2"/>
  <c r="G284" i="2"/>
  <c r="G454" i="2"/>
  <c r="G24" i="2"/>
  <c r="G187" i="2"/>
  <c r="G205" i="2"/>
  <c r="G137" i="2"/>
  <c r="G346" i="2"/>
  <c r="G285" i="2"/>
  <c r="G520" i="2"/>
  <c r="G396" i="2"/>
  <c r="G51" i="2"/>
  <c r="G37" i="2"/>
  <c r="G298" i="2"/>
  <c r="G163" i="2"/>
  <c r="G188" i="2"/>
  <c r="G299" i="2"/>
  <c r="G397" i="2"/>
  <c r="G377" i="2"/>
  <c r="G229" i="2"/>
  <c r="G398" i="2"/>
  <c r="G169" i="2"/>
  <c r="G300" i="2"/>
  <c r="G250" i="2"/>
  <c r="G101" i="2"/>
  <c r="G124" i="2"/>
  <c r="G138" i="2"/>
  <c r="G88" i="2"/>
  <c r="G230" i="2"/>
  <c r="G112" i="2"/>
  <c r="G354" i="2"/>
  <c r="G301" i="2"/>
  <c r="G302" i="2"/>
  <c r="G442" i="2"/>
  <c r="G521" i="2"/>
  <c r="G170" i="2"/>
  <c r="G25" i="2"/>
  <c r="G317" i="2"/>
  <c r="G303" i="2"/>
  <c r="G89" i="2"/>
  <c r="G113" i="2"/>
  <c r="G52" i="2"/>
  <c r="G231" i="2"/>
  <c r="G522" i="2"/>
  <c r="G90" i="2"/>
  <c r="G318" i="2"/>
  <c r="G455" i="2"/>
  <c r="G286" i="2"/>
  <c r="G498" i="2"/>
  <c r="G26" i="2"/>
  <c r="G466" i="2"/>
  <c r="G13" i="2"/>
  <c r="G53" i="2"/>
  <c r="G206" i="2"/>
  <c r="G139" i="2"/>
  <c r="G399" i="2"/>
  <c r="G507" i="2"/>
  <c r="G80" i="2"/>
  <c r="G171" i="2"/>
  <c r="G207" i="2"/>
  <c r="G367" i="2"/>
  <c r="G319" i="2"/>
  <c r="G380" i="2"/>
  <c r="G54" i="2"/>
  <c r="G114" i="2"/>
  <c r="G499" i="2"/>
  <c r="G400" i="2"/>
  <c r="G208" i="2"/>
  <c r="G75" i="2"/>
  <c r="G304" i="2"/>
  <c r="G523" i="2"/>
  <c r="G38" i="2"/>
  <c r="G39" i="2"/>
  <c r="G287" i="2"/>
  <c r="G140" i="2"/>
  <c r="G189" i="2"/>
  <c r="G190" i="2"/>
  <c r="G368" i="2"/>
  <c r="G347" i="2"/>
  <c r="G125" i="2"/>
  <c r="G172" i="2"/>
  <c r="G115" i="2"/>
  <c r="G81" i="2"/>
  <c r="G260" i="2"/>
  <c r="G191" i="2"/>
  <c r="G524" i="2"/>
  <c r="G219" i="2"/>
  <c r="G433" i="2"/>
  <c r="G456" i="2"/>
  <c r="G457" i="2"/>
  <c r="G76" i="2"/>
  <c r="G508" i="2"/>
  <c r="G173" i="2"/>
  <c r="G27" i="2"/>
  <c r="G40" i="2"/>
  <c r="G414" i="2"/>
  <c r="G443" i="2"/>
  <c r="G288" i="2"/>
  <c r="G14" i="2"/>
  <c r="G209" i="2"/>
  <c r="G289" i="2"/>
  <c r="G509" i="2"/>
  <c r="G141" i="2"/>
  <c r="G369" i="2"/>
  <c r="G370" i="2"/>
  <c r="G422" i="2"/>
  <c r="G525" i="2"/>
  <c r="G444" i="2"/>
  <c r="G401" i="2"/>
  <c r="G126" i="2"/>
  <c r="G82" i="2"/>
  <c r="G415" i="2"/>
  <c r="G445" i="2"/>
  <c r="G220" i="2"/>
  <c r="G526" i="2"/>
  <c r="G91" i="2"/>
  <c r="G28" i="2"/>
  <c r="G527" i="2"/>
  <c r="G174" i="2"/>
  <c r="G423" i="2"/>
  <c r="G266" i="2"/>
  <c r="G500" i="2"/>
  <c r="G446" i="2"/>
  <c r="G142" i="2"/>
  <c r="G175" i="2"/>
  <c r="G348" i="2"/>
  <c r="G416" i="2"/>
  <c r="G232" i="2"/>
  <c r="G92" i="2"/>
  <c r="G221" i="2"/>
  <c r="G510" i="2"/>
  <c r="G176" i="2"/>
  <c r="G501" i="2"/>
  <c r="G467" i="2"/>
  <c r="G424" i="2"/>
  <c r="G222" i="2"/>
  <c r="G305" i="2"/>
  <c r="G210" i="2"/>
  <c r="G306" i="2"/>
  <c r="G29" i="2"/>
  <c r="G143" i="2"/>
  <c r="G402" i="2"/>
  <c r="G233" i="2"/>
  <c r="G425" i="2"/>
  <c r="G55" i="2"/>
  <c r="G371" i="2"/>
  <c r="G403" i="2"/>
  <c r="G355" i="2"/>
  <c r="G177" i="2"/>
  <c r="G320" i="2"/>
  <c r="G290" i="2"/>
  <c r="G528" i="2"/>
  <c r="G447" i="2"/>
  <c r="G192" i="2"/>
  <c r="G448" i="2"/>
  <c r="G307" i="2"/>
  <c r="G164" i="2"/>
  <c r="G349" i="2"/>
  <c r="G529" i="2"/>
  <c r="G127" i="2"/>
  <c r="G77" i="2"/>
  <c r="G93" i="2"/>
  <c r="G502" i="2"/>
  <c r="G128" i="2"/>
  <c r="G129" i="2"/>
  <c r="E4" i="3"/>
  <c r="E5" i="3"/>
  <c r="L271" i="2" l="1"/>
  <c r="G384" i="2"/>
  <c r="G102" i="2"/>
  <c r="G434" i="2"/>
  <c r="G275" i="2"/>
  <c r="G478" i="2"/>
  <c r="G379" i="2"/>
  <c r="G196" i="2"/>
  <c r="G477" i="2"/>
  <c r="G195" i="2"/>
  <c r="G63" i="2"/>
  <c r="G62" i="2"/>
  <c r="G194" i="2"/>
  <c r="G331" i="2"/>
  <c r="G330" i="2"/>
  <c r="G328" i="2"/>
  <c r="G149" i="2"/>
  <c r="G471" i="2"/>
  <c r="G470" i="2"/>
  <c r="G236" i="2"/>
  <c r="G468" i="2"/>
  <c r="G58" i="2"/>
  <c r="G323" i="2"/>
  <c r="G269" i="2"/>
  <c r="G234" i="2"/>
  <c r="G146" i="2"/>
  <c r="G426" i="2"/>
  <c r="G482" i="2"/>
  <c r="G103" i="2"/>
  <c r="G69" i="2"/>
  <c r="G153" i="2"/>
  <c r="G198" i="2"/>
  <c r="G383" i="2"/>
  <c r="G335" i="2"/>
  <c r="G480" i="2"/>
  <c r="G276" i="2"/>
  <c r="G67" i="2"/>
  <c r="G66" i="2"/>
  <c r="G381" i="2"/>
  <c r="G333" i="2"/>
  <c r="G242" i="2"/>
  <c r="G197" i="2"/>
  <c r="G479" i="2"/>
  <c r="G241" i="2"/>
  <c r="G378" i="2"/>
  <c r="G476" i="2"/>
  <c r="G474" i="2"/>
  <c r="G329" i="2"/>
  <c r="G239" i="2"/>
  <c r="G148" i="2"/>
  <c r="G98" i="2"/>
  <c r="G60" i="2"/>
  <c r="G59" i="2"/>
  <c r="G373" i="2"/>
  <c r="G96" i="2"/>
  <c r="G325" i="2"/>
  <c r="G324" i="2"/>
  <c r="G322" i="2"/>
  <c r="G56" i="2"/>
  <c r="G267" i="2"/>
  <c r="G481" i="2"/>
  <c r="G68" i="2"/>
  <c r="G334" i="2"/>
  <c r="G65" i="2"/>
  <c r="G152" i="2"/>
  <c r="G475" i="2"/>
  <c r="G432" i="2"/>
  <c r="G240" i="2"/>
  <c r="G473" i="2"/>
  <c r="G150" i="2"/>
  <c r="G238" i="2"/>
  <c r="G472" i="2"/>
  <c r="G61" i="2"/>
  <c r="G99" i="2"/>
  <c r="G97" i="2"/>
  <c r="AB2" i="3"/>
  <c r="AP1" i="3"/>
  <c r="AG3" i="3" a="1"/>
  <c r="AG3" i="3" s="1"/>
  <c r="AE2" i="3"/>
  <c r="AD2" i="3"/>
  <c r="AC2" i="3"/>
  <c r="E6"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futureMetadata>
  <cellMetadata count="1">
    <bk>
      <rc t="1" v="0"/>
    </bk>
  </cellMetadata>
  <valueMetadata count="13">
    <bk>
      <rc t="2" v="0"/>
    </bk>
    <bk>
      <rc t="2" v="1"/>
    </bk>
    <bk>
      <rc t="2" v="2"/>
    </bk>
    <bk>
      <rc t="2" v="3"/>
    </bk>
    <bk>
      <rc t="2" v="4"/>
    </bk>
    <bk>
      <rc t="2" v="5"/>
    </bk>
    <bk>
      <rc t="2" v="6"/>
    </bk>
    <bk>
      <rc t="2" v="7"/>
    </bk>
    <bk>
      <rc t="2" v="8"/>
    </bk>
    <bk>
      <rc t="2" v="9"/>
    </bk>
    <bk>
      <rc t="2" v="10"/>
    </bk>
    <bk>
      <rc t="2" v="11"/>
    </bk>
    <bk>
      <rc t="2" v="12"/>
    </bk>
  </valueMetadata>
</metadata>
</file>

<file path=xl/sharedStrings.xml><?xml version="1.0" encoding="utf-8"?>
<sst xmlns="http://schemas.openxmlformats.org/spreadsheetml/2006/main" count="2089" uniqueCount="193">
  <si>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</si>
  <si>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</si>
  <si>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</si>
  <si>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</si>
  <si>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</si>
  <si>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</si>
  <si>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</si>
  <si>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</si>
  <si>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</si>
  <si>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</si>
  <si>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</si>
  <si>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</si>
  <si>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</si>
  <si>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</si>
  <si>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</si>
  <si>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</si>
  <si>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</si>
  <si>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</si>
  <si>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</si>
  <si>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</si>
  <si>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</si>
  <si>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</si>
  <si>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</si>
  <si>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</si>
  <si>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</si>
  <si>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</si>
  <si>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</si>
  <si>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</si>
  <si>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</si>
  <si>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</si>
  <si>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</si>
  <si>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</si>
  <si>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</si>
  <si>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</si>
  <si>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</si>
  <si>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</si>
  <si>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</si>
  <si>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</si>
  <si>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</si>
  <si>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</si>
  <si>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</si>
  <si>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</si>
  <si>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</si>
  <si>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</si>
  <si>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</si>
  <si>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</si>
  <si>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</si>
  <si>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</si>
  <si>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</si>
  <si>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</si>
  <si>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</si>
  <si>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</si>
  <si>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</si>
  <si>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</si>
  <si>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</si>
  <si>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</si>
  <si>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</si>
  <si>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</si>
  <si>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</si>
  <si>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</si>
  <si>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</si>
  <si>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</si>
  <si>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</si>
  <si>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</si>
  <si>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</si>
  <si>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</si>
  <si>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</si>
  <si>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</si>
  <si>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</si>
  <si>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</si>
  <si>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</si>
  <si>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</si>
  <si>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</si>
  <si>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</si>
  <si>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</si>
  <si>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</si>
  <si>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</si>
  <si>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</si>
  <si>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</si>
  <si>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</si>
  <si>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</si>
  <si>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</si>
  <si>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</si>
  <si>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</si>
  <si>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</si>
  <si>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</si>
  <si>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</si>
  <si>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</si>
  <si>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</si>
  <si>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</si>
  <si>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</si>
  <si>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</si>
  <si>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</si>
  <si>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</si>
  <si>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</si>
  <si>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</si>
  <si>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</si>
  <si>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</si>
  <si>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</si>
  <si>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</si>
  <si>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</si>
  <si>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</si>
  <si>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</si>
  <si>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</si>
  <si>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</si>
  <si>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</si>
  <si>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</si>
  <si>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</si>
  <si>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</si>
  <si>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</si>
  <si>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</si>
  <si>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</si>
  <si>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</si>
  <si>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TOTAL BUYING VALUE</t>
  </si>
  <si>
    <t>TOTAL SELLING VALUE2</t>
  </si>
  <si>
    <t>DAY</t>
  </si>
  <si>
    <t>MONTH</t>
  </si>
  <si>
    <t>YEAR</t>
  </si>
  <si>
    <t xml:space="preserve">PRODUCT </t>
  </si>
  <si>
    <t>Row Labels</t>
  </si>
  <si>
    <t>Sum of TOTAL SELLING VALUE2</t>
  </si>
  <si>
    <t>Sum of TOTAL BUYING VALUE</t>
  </si>
  <si>
    <t>Jan</t>
  </si>
  <si>
    <t>Feb</t>
  </si>
  <si>
    <t>Mar</t>
  </si>
  <si>
    <t>Apr</t>
  </si>
  <si>
    <t>May</t>
  </si>
  <si>
    <t>Jun</t>
  </si>
  <si>
    <t>Jul</t>
  </si>
  <si>
    <t>Aug</t>
  </si>
  <si>
    <t>Sep</t>
  </si>
  <si>
    <t>Oct</t>
  </si>
  <si>
    <t>Nov</t>
  </si>
  <si>
    <t>Dec</t>
  </si>
  <si>
    <t>Sum of QUANTITY</t>
  </si>
  <si>
    <t>Total Sale</t>
  </si>
  <si>
    <t>Total Profit</t>
  </si>
  <si>
    <t>Profit %</t>
  </si>
  <si>
    <t>Month</t>
  </si>
  <si>
    <t>Sales</t>
  </si>
  <si>
    <t>Profit</t>
  </si>
  <si>
    <t xml:space="preserve">Profit </t>
  </si>
  <si>
    <t>PRODUCT NAME</t>
  </si>
  <si>
    <t>Sugar</t>
  </si>
  <si>
    <t>Rice</t>
  </si>
  <si>
    <t>Wheat Flour</t>
  </si>
  <si>
    <t>Sunflower Oil</t>
  </si>
  <si>
    <t>Onion</t>
  </si>
  <si>
    <t>Tomato</t>
  </si>
  <si>
    <t>Palm Oil</t>
  </si>
  <si>
    <t>Potato</t>
  </si>
  <si>
    <t>Noodles</t>
  </si>
  <si>
    <t>Cheese</t>
  </si>
  <si>
    <t>Olive Oil</t>
  </si>
  <si>
    <t>Green chilly</t>
  </si>
  <si>
    <t>Red chilly</t>
  </si>
  <si>
    <t>Brocoli</t>
  </si>
  <si>
    <t>Butter</t>
  </si>
  <si>
    <t>Bread</t>
  </si>
  <si>
    <t>Peanut Butter</t>
  </si>
  <si>
    <t>Note Book</t>
  </si>
  <si>
    <t>Bucket</t>
  </si>
  <si>
    <t>Almond Oil</t>
  </si>
  <si>
    <t>Soap</t>
  </si>
  <si>
    <t>Washing soap</t>
  </si>
  <si>
    <t>Bathing Soap</t>
  </si>
  <si>
    <t>Dish washer</t>
  </si>
  <si>
    <t>Mugs</t>
  </si>
  <si>
    <t>Glass</t>
  </si>
  <si>
    <t>Liquid soap</t>
  </si>
  <si>
    <t>Soa Bean</t>
  </si>
  <si>
    <t>Milk</t>
  </si>
  <si>
    <t>Plates</t>
  </si>
  <si>
    <t>Rice flour</t>
  </si>
  <si>
    <t>sugar</t>
  </si>
  <si>
    <t>Grains</t>
  </si>
  <si>
    <t>water cane</t>
  </si>
  <si>
    <t>bun</t>
  </si>
  <si>
    <t>carrot</t>
  </si>
  <si>
    <t>Beetroot</t>
  </si>
  <si>
    <t>Onion Leaf</t>
  </si>
  <si>
    <t>Cabbage</t>
  </si>
  <si>
    <t>Apples</t>
  </si>
  <si>
    <t>Meat</t>
  </si>
  <si>
    <t>Chicken</t>
  </si>
  <si>
    <t>Pork</t>
  </si>
  <si>
    <t>Grape</t>
  </si>
  <si>
    <t>PRODUCT LIST</t>
  </si>
  <si>
    <t>orange</t>
  </si>
  <si>
    <t>P0046</t>
  </si>
  <si>
    <t>Pineapple</t>
  </si>
  <si>
    <t>P0047</t>
  </si>
  <si>
    <t>21/12/2022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</si>
</sst>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dd/mm/yyyy"/>
    <numFmt numFmtId="166" formatCode="[$$-409]#,##0.00"/>
  </numFmts>
  <fonts count="4" x14ac:knownFonts="1">
    <font>
      <sz val="11"/>
      <color theme="1"/>
      <name val="Calibri"/>
      <family val="2"/>
      <scheme val="minor"/>
    </font>
    <font>
      <b/>
      <sz val="11"/>
      <color rgb="FF7030A0"/>
      <name val="Calibri"/>
      <family val="2"/>
      <scheme val="minor"/>
    </font>
    <font>
      <sz val="11"/>
      <color theme="1"/>
      <name val="Calibri"/>
      <family val="2"/>
      <scheme val="minor"/>
    </font>
    <font>
      <sz val="8"/>
      <name val="Calibri"/>
      <family val="2"/>
      <scheme val="minor"/>
    </font>
  </fonts>
  <fills count="6">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s>
  <borders count="2">
    <border>
      <left/>
      <right/>
      <top/>
      <bottom/>
      <diagonal/>
    </border>
    <border>
      <left/>
      <right/>
      <top/>
      <bottom style="medium">
        <color rgb="FF7030A0"/>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left" vertical="center"/>
    </xf>
    <xf numFmtId="14" fontId="0" fillId="3" borderId="0" xfId="0" applyNumberFormat="1" applyFill="1" applyAlignment="1">
      <alignment horizontal="left"/>
    </xf>
    <xf numFmtId="0" fontId="0" fillId="3" borderId="0" xfId="0" applyFill="1" applyAlignment="1">
      <alignment horizontal="left" vertical="center"/>
    </xf>
    <xf numFmtId="0" fontId="0" fillId="5" borderId="0" xfId="0" applyFill="1" applyAlignment="1">
      <alignment horizontal="left"/>
    </xf>
    <xf numFmtId="164" fontId="0" fillId="5" borderId="0" xfId="0" applyNumberFormat="1" applyFill="1" applyAlignment="1">
      <alignment horizontal="left"/>
    </xf>
    <xf numFmtId="0" fontId="0" fillId="0" borderId="0" xfId="0" applyAlignment="1">
      <alignment horizontal="left"/>
    </xf>
    <xf numFmtId="166" fontId="0" fillId="0" borderId="0" xfId="0" applyNumberFormat="1" applyAlignment="1">
      <alignment horizontal="left"/>
    </xf>
    <xf numFmtId="165" fontId="0" fillId="3" borderId="0" xfId="0" applyNumberFormat="1" applyFill="1" applyAlignment="1">
      <alignment horizontal="left"/>
    </xf>
    <xf numFmtId="0" fontId="0" fillId="0" borderId="0" xfId="0" pivotButton="1"/>
    <xf numFmtId="166" fontId="0" fillId="0" borderId="0" xfId="0" applyNumberFormat="1"/>
    <xf numFmtId="9" fontId="0" fillId="0" borderId="0" xfId="1" applyFont="1"/>
  </cellXfs>
  <cellStyles count="2">
    <cellStyle name="Normal" xfId="0" builtinId="0"/>
    <cellStyle name="Percent" xfId="1" builtinId="5"/>
  </cellStyles>
  <dxfs count="32">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166" formatCode="[$$-409]#,##0.00"/>
      <alignment horizontal="left" textRotation="0" wrapText="0" indent="0" justifyLastLine="0" shrinkToFit="0" readingOrder="0"/>
    </dxf>
    <dxf>
      <numFmt numFmtId="166" formatCode="[$$-409]#,##0.00"/>
      <alignment horizontal="left" textRotation="0" wrapText="0" indent="0" justifyLastLine="0" shrinkToFit="0" readingOrder="0"/>
    </dxf>
    <dxf>
      <numFmt numFmtId="166" formatCode="[$$-409]#,##0.00"/>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textRotation="0" wrapText="0" indent="0" justifyLastLine="0" shrinkToFit="0" readingOrder="0"/>
    </dxf>
    <dxf>
      <numFmt numFmtId="164" formatCode="0.0%"/>
      <fill>
        <patternFill patternType="solid">
          <fgColor indexed="64"/>
          <bgColor theme="9" tint="0.59999389629810485"/>
        </patternFill>
      </fill>
      <alignment horizontal="left" textRotation="0" wrapText="0" indent="0" justifyLastLine="0" shrinkToFit="0" readingOrder="0"/>
    </dxf>
    <dxf>
      <numFmt numFmtId="0" formatCode="General"/>
      <fill>
        <patternFill patternType="solid">
          <fgColor indexed="64"/>
          <bgColor theme="9" tint="0.59999389629810485"/>
        </patternFill>
      </fill>
      <alignment horizontal="left" textRotation="0" wrapText="0" indent="0" justifyLastLine="0" shrinkToFit="0" readingOrder="0"/>
    </dxf>
    <dxf>
      <fill>
        <patternFill patternType="solid">
          <fgColor indexed="64"/>
          <bgColor theme="9" tint="0.59999389629810485"/>
        </patternFill>
      </fill>
      <alignment horizontal="left" textRotation="0" wrapText="0" indent="0" justifyLastLine="0" shrinkToFit="0" readingOrder="0"/>
    </dxf>
    <dxf>
      <numFmt numFmtId="0" formatCode="General"/>
      <fill>
        <patternFill patternType="solid">
          <fgColor indexed="64"/>
          <bgColor theme="9" tint="0.59999389629810485"/>
        </patternFill>
      </fill>
      <alignment horizontal="left" textRotation="0" wrapText="0" indent="0" justifyLastLine="0" shrinkToFit="0" readingOrder="0"/>
    </dxf>
    <dxf>
      <numFmt numFmtId="0" formatCode="General"/>
      <fill>
        <patternFill patternType="solid">
          <fgColor indexed="64"/>
          <bgColor theme="7" tint="0.59999389629810485"/>
        </patternFill>
      </fill>
      <alignment horizontal="left" vertical="center" textRotation="0" wrapText="0" indent="0" justifyLastLine="0" shrinkToFit="0" readingOrder="0"/>
    </dxf>
    <dxf>
      <numFmt numFmtId="165" formatCode="dd/mm/yyyy"/>
      <fill>
        <patternFill patternType="solid">
          <fgColor indexed="64"/>
          <bgColor theme="7" tint="0.59999389629810485"/>
        </patternFill>
      </fill>
      <alignment horizontal="left" textRotation="0" wrapText="0" indent="0" justifyLastLine="0" shrinkToFit="0" readingOrder="0"/>
    </dxf>
    <dxf>
      <alignment horizontal="left"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left" vertical="center" textRotation="0" wrapText="0" indent="0" justifyLastLine="0" shrinkToFit="0" readingOrder="0"/>
    </dxf>
    <dxf>
      <numFmt numFmtId="166" formatCode="[$$-409]#,##0.0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font>
        <b/>
        <i val="0"/>
        <sz val="10"/>
        <color theme="0"/>
        <name val="Poppins"/>
      </font>
      <fill>
        <patternFill>
          <bgColor theme="8" tint="9.9948118533890809E-2"/>
        </patternFill>
      </fill>
      <border diagonalUp="0" diagonalDown="0">
        <left/>
        <right/>
        <top/>
        <bottom/>
        <vertical/>
        <horizontal/>
      </border>
    </dxf>
    <dxf>
      <font>
        <sz val="9"/>
        <color theme="0"/>
        <name val="Poppins"/>
      </font>
      <fill>
        <patternFill>
          <bgColor theme="8" tint="9.9948118533890809E-2"/>
        </patternFill>
      </fill>
      <border diagonalUp="0" diagonalDown="0">
        <left/>
        <right/>
        <top/>
        <bottom/>
        <vertical/>
        <horizontal/>
      </border>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2" defaultTableStyle="TableStyleMedium2" defaultPivotStyle="PivotStyleLight16">
    <tableStyle name="SLICER" pivot="0" table="0" count="10" xr9:uid="{C2F4C036-8D81-403F-996E-142D1BF5CBC0}">
      <tableStyleElement type="wholeTable" dxfId="31"/>
      <tableStyleElement type="headerRow" dxfId="30"/>
    </tableStyle>
    <tableStyle name="SLICER " pivot="0" table="0" count="10" xr9:uid="{C6621FB8-23B1-4B39-A4FE-75C4C4891A38}">
      <tableStyleElement type="wholeTable" dxfId="29"/>
      <tableStyleElement type="headerRow" dxfId="2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[Sales-Dashboard-practice-file.xlsx]PIVOT TABLE!Totalselling</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c:f>
              <c:strCache>
                <c:ptCount val="1"/>
                <c:pt idx="0">
                  <c:v>Total</c:v>
                </c:pt>
              </c:strCache>
            </c:strRef>
          </c:tx>
          <c:spPr>
            <a:solidFill>
              <a:schemeClr val="accent1"/>
            </a:solidFill>
            <a:ln>
              <a:noFill/>
            </a:ln>
            <a:effectLst/>
          </c:spPr>
          <c:cat>
            <c:strRef>
              <c:f>'PIVOT TABLE'!$A$2:$A$32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TABLE'!$B$2:$B$32</c:f>
              <c:numCache>
                <c:formatCode>[$$-409]#,##0.00</c:formatCode>
                <c:ptCount val="31"/>
                <c:pt idx="0">
                  <c:v>13167.81</c:v>
                </c:pt>
                <c:pt idx="1">
                  <c:v>13210.219999999998</c:v>
                </c:pt>
                <c:pt idx="2">
                  <c:v>20202.099999999999</c:v>
                </c:pt>
                <c:pt idx="3">
                  <c:v>11312.200000000003</c:v>
                </c:pt>
                <c:pt idx="4">
                  <c:v>11711.449999999997</c:v>
                </c:pt>
                <c:pt idx="5">
                  <c:v>14365.539999999997</c:v>
                </c:pt>
                <c:pt idx="6">
                  <c:v>7132.79</c:v>
                </c:pt>
                <c:pt idx="7">
                  <c:v>14262.46</c:v>
                </c:pt>
                <c:pt idx="8">
                  <c:v>16824.670000000002</c:v>
                </c:pt>
                <c:pt idx="9">
                  <c:v>15229.349999999999</c:v>
                </c:pt>
                <c:pt idx="10">
                  <c:v>11915.58</c:v>
                </c:pt>
                <c:pt idx="11">
                  <c:v>14837.36</c:v>
                </c:pt>
                <c:pt idx="12">
                  <c:v>8084.26</c:v>
                </c:pt>
                <c:pt idx="13">
                  <c:v>9461.1400000000012</c:v>
                </c:pt>
                <c:pt idx="14">
                  <c:v>12189.7</c:v>
                </c:pt>
                <c:pt idx="15">
                  <c:v>12762.63</c:v>
                </c:pt>
                <c:pt idx="16">
                  <c:v>3659.2400000000002</c:v>
                </c:pt>
                <c:pt idx="17">
                  <c:v>18582.39</c:v>
                </c:pt>
                <c:pt idx="18">
                  <c:v>10204.23</c:v>
                </c:pt>
                <c:pt idx="19">
                  <c:v>20482.780000000006</c:v>
                </c:pt>
                <c:pt idx="20">
                  <c:v>10665.4</c:v>
                </c:pt>
                <c:pt idx="21">
                  <c:v>11315.839999999997</c:v>
                </c:pt>
                <c:pt idx="22">
                  <c:v>18818.190000000002</c:v>
                </c:pt>
                <c:pt idx="23">
                  <c:v>11488.4</c:v>
                </c:pt>
                <c:pt idx="24">
                  <c:v>18688.43</c:v>
                </c:pt>
                <c:pt idx="25">
                  <c:v>13710.08</c:v>
                </c:pt>
                <c:pt idx="26">
                  <c:v>11440.67</c:v>
                </c:pt>
                <c:pt idx="27">
                  <c:v>13306.159999999998</c:v>
                </c:pt>
                <c:pt idx="28">
                  <c:v>8794.48</c:v>
                </c:pt>
                <c:pt idx="29">
                  <c:v>16666.27</c:v>
                </c:pt>
                <c:pt idx="30">
                  <c:v>7390.9499999999989</c:v>
                </c:pt>
              </c:numCache>
            </c:numRef>
          </c:val>
          <c:extLst>
            <c:ext xmlns:c16="http://schemas.microsoft.com/office/drawing/2014/chart" uri="{C3380CC4-5D6E-409C-BE32-E72D297353CC}">
              <c16:uniqueId val="{00000000-45C0-44F6-8A1F-7E1C64C96FA7}"/>
            </c:ext>
          </c:extLst>
        </c:ser>
        <c:dLbls>
          <c:showLegendKey val="0"/>
          <c:showVal val="0"/>
          <c:showCatName val="0"/>
          <c:showSerName val="0"/>
          <c:showPercent val="0"/>
          <c:showBubbleSize val="0"/>
        </c:dLbls>
        <c:axId val="2059479759"/>
        <c:axId val="2059497039"/>
      </c:areaChart>
      <c:catAx>
        <c:axId val="2059479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497039"/>
        <c:crosses val="autoZero"/>
        <c:auto val="1"/>
        <c:lblAlgn val="ctr"/>
        <c:lblOffset val="100"/>
        <c:noMultiLvlLbl val="0"/>
      </c:catAx>
      <c:valAx>
        <c:axId val="2059497039"/>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47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7755905511811"/>
          <c:y val="4.1666666666666664E-2"/>
          <c:w val="0.80666885389326337"/>
          <c:h val="0.89814814814814814"/>
        </c:manualLayout>
      </c:layout>
      <c:barChart>
        <c:barDir val="col"/>
        <c:grouping val="clustered"/>
        <c:varyColors val="0"/>
        <c:ser>
          <c:idx val="0"/>
          <c:order val="0"/>
          <c:tx>
            <c:strRef>
              <c:f>'PIVOT TABLE'!$L$1</c:f>
              <c:strCache>
                <c:ptCount val="1"/>
                <c:pt idx="0">
                  <c:v>Sales</c:v>
                </c:pt>
              </c:strCache>
            </c:strRef>
          </c:tx>
          <c:spPr>
            <a:solidFill>
              <a:schemeClr val="accent1"/>
            </a:solidFill>
            <a:ln>
              <a:noFill/>
            </a:ln>
            <a:effectLst/>
          </c:spPr>
          <c:invertIfNegative val="0"/>
          <c:cat>
            <c:strRef>
              <c:f>'PIVOT TABLE'!$K$2:$K$13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TABLE'!$L$2:$L$13</c:f>
              <c:numCache>
                <c:formatCode>[$$-409]#,##0.00</c:formatCode>
                <c:ptCount val="12"/>
                <c:pt idx="0">
                  <c:v>34290</c:v>
                </c:pt>
                <c:pt idx="1">
                  <c:v>25341</c:v>
                </c:pt>
                <c:pt idx="2">
                  <c:v>23437</c:v>
                </c:pt>
                <c:pt idx="3">
                  <c:v>21282</c:v>
                </c:pt>
                <c:pt idx="4">
                  <c:v>26526</c:v>
                </c:pt>
                <c:pt idx="5">
                  <c:v>24879</c:v>
                </c:pt>
                <c:pt idx="6">
                  <c:v>29878</c:v>
                </c:pt>
                <c:pt idx="7">
                  <c:v>29831</c:v>
                </c:pt>
                <c:pt idx="8">
                  <c:v>28758</c:v>
                </c:pt>
                <c:pt idx="9">
                  <c:v>27842</c:v>
                </c:pt>
                <c:pt idx="10">
                  <c:v>29306</c:v>
                </c:pt>
                <c:pt idx="11">
                  <c:v>31499</c:v>
                </c:pt>
              </c:numCache>
            </c:numRef>
          </c:val>
          <c:extLst>
            <c:ext xmlns:c16="http://schemas.microsoft.com/office/drawing/2014/chart" uri="{C3380CC4-5D6E-409C-BE32-E72D297353CC}">
              <c16:uniqueId val="{00000000-50CC-4D90-BB19-BFB7AF5575E9}"/>
            </c:ext>
          </c:extLst>
        </c:ser>
        <c:ser>
          <c:idx val="1"/>
          <c:order val="1"/>
          <c:tx>
            <c:strRef>
              <c:f>'PIVOT TABLE'!$M$1</c:f>
              <c:strCache>
                <c:ptCount val="1"/>
                <c:pt idx="0">
                  <c:v>Profit </c:v>
                </c:pt>
              </c:strCache>
            </c:strRef>
          </c:tx>
          <c:spPr>
            <a:solidFill>
              <a:schemeClr val="accent2"/>
            </a:solidFill>
            <a:ln>
              <a:noFill/>
            </a:ln>
            <a:effectLst/>
          </c:spPr>
          <c:invertIfNegative val="0"/>
          <c:dLbls>
            <c:dLbl>
              <c:idx val="0"/>
              <c:tx>
                <c:rich>
                  <a:bodyPr/>
                  <a:lstStyle/>
                  <a:p>
                    <a:fld id="{6CA067E6-F153-4F84-97AB-CDAEE203A988}"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0CC-4D90-BB19-BFB7AF5575E9}"/>
                </c:ext>
              </c:extLst>
            </c:dLbl>
            <c:dLbl>
              <c:idx val="1"/>
              <c:tx>
                <c:rich>
                  <a:bodyPr/>
                  <a:lstStyle/>
                  <a:p>
                    <a:fld id="{E44B5B81-7A9D-485D-AC03-51BEFE5EC684}"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0CC-4D90-BB19-BFB7AF5575E9}"/>
                </c:ext>
              </c:extLst>
            </c:dLbl>
            <c:dLbl>
              <c:idx val="2"/>
              <c:tx>
                <c:rich>
                  <a:bodyPr/>
                  <a:lstStyle/>
                  <a:p>
                    <a:fld id="{8BF6FCD2-1BBF-4EBD-843B-10F4B56A6C4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0CC-4D90-BB19-BFB7AF5575E9}"/>
                </c:ext>
              </c:extLst>
            </c:dLbl>
            <c:dLbl>
              <c:idx val="3"/>
              <c:tx>
                <c:rich>
                  <a:bodyPr/>
                  <a:lstStyle/>
                  <a:p>
                    <a:fld id="{21F039B6-4FEE-48CA-BEFE-B17555664EE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0CC-4D90-BB19-BFB7AF5575E9}"/>
                </c:ext>
              </c:extLst>
            </c:dLbl>
            <c:dLbl>
              <c:idx val="4"/>
              <c:tx>
                <c:rich>
                  <a:bodyPr/>
                  <a:lstStyle/>
                  <a:p>
                    <a:fld id="{0D1D921D-D05D-4F7F-83ED-933E4869FA2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0CC-4D90-BB19-BFB7AF5575E9}"/>
                </c:ext>
              </c:extLst>
            </c:dLbl>
            <c:dLbl>
              <c:idx val="5"/>
              <c:tx>
                <c:rich>
                  <a:bodyPr/>
                  <a:lstStyle/>
                  <a:p>
                    <a:fld id="{09CAD517-DCF3-4F6A-BA84-B111BA23757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0CC-4D90-BB19-BFB7AF5575E9}"/>
                </c:ext>
              </c:extLst>
            </c:dLbl>
            <c:dLbl>
              <c:idx val="6"/>
              <c:tx>
                <c:rich>
                  <a:bodyPr/>
                  <a:lstStyle/>
                  <a:p>
                    <a:fld id="{44CDCAC4-7901-461A-8847-3ADF20B95C6F}"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0CC-4D90-BB19-BFB7AF5575E9}"/>
                </c:ext>
              </c:extLst>
            </c:dLbl>
            <c:dLbl>
              <c:idx val="7"/>
              <c:tx>
                <c:rich>
                  <a:bodyPr/>
                  <a:lstStyle/>
                  <a:p>
                    <a:fld id="{00C38975-DD1C-4F8B-8C57-9F02B7B039D4}"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0CC-4D90-BB19-BFB7AF5575E9}"/>
                </c:ext>
              </c:extLst>
            </c:dLbl>
            <c:dLbl>
              <c:idx val="8"/>
              <c:tx>
                <c:rich>
                  <a:bodyPr/>
                  <a:lstStyle/>
                  <a:p>
                    <a:fld id="{C62F03C3-76E9-456C-8C04-60926FF231D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0CC-4D90-BB19-BFB7AF5575E9}"/>
                </c:ext>
              </c:extLst>
            </c:dLbl>
            <c:dLbl>
              <c:idx val="9"/>
              <c:tx>
                <c:rich>
                  <a:bodyPr/>
                  <a:lstStyle/>
                  <a:p>
                    <a:fld id="{E994E2DA-4F0C-42D5-AAF0-580BD44A14D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0CC-4D90-BB19-BFB7AF5575E9}"/>
                </c:ext>
              </c:extLst>
            </c:dLbl>
            <c:dLbl>
              <c:idx val="10"/>
              <c:tx>
                <c:rich>
                  <a:bodyPr/>
                  <a:lstStyle/>
                  <a:p>
                    <a:fld id="{B540F643-0888-4BB7-AA89-489CD406C654}"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0CC-4D90-BB19-BFB7AF5575E9}"/>
                </c:ext>
              </c:extLst>
            </c:dLbl>
            <c:dLbl>
              <c:idx val="11"/>
              <c:tx>
                <c:rich>
                  <a:bodyPr/>
                  <a:lstStyle/>
                  <a:p>
                    <a:fld id="{EC1AEFED-0F42-4C24-B14E-D6C77302C223}"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0CC-4D90-BB19-BFB7AF5575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TABLE'!$K$2:$K$13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TABLE'!$M$2:$M$13</c:f>
              <c:numCache>
                <c:formatCode>[$$-409]#,##0.00</c:formatCode>
                <c:ptCount val="12"/>
                <c:pt idx="0">
                  <c:v>-7056.9600000000064</c:v>
                </c:pt>
                <c:pt idx="1">
                  <c:v>-5516.3000000000065</c:v>
                </c:pt>
                <c:pt idx="2">
                  <c:v>-5179.6499999999942</c:v>
                </c:pt>
                <c:pt idx="3">
                  <c:v>-5297.1099999999969</c:v>
                </c:pt>
                <c:pt idx="4">
                  <c:v>-4384.4500000000007</c:v>
                </c:pt>
                <c:pt idx="5">
                  <c:v>-5654.7099999999991</c:v>
                </c:pt>
                <c:pt idx="6">
                  <c:v>-5373.7900000000009</c:v>
                </c:pt>
                <c:pt idx="7">
                  <c:v>-5519.4000000000015</c:v>
                </c:pt>
                <c:pt idx="8">
                  <c:v>-6484.8100000000049</c:v>
                </c:pt>
                <c:pt idx="9">
                  <c:v>-5658.6900000000023</c:v>
                </c:pt>
                <c:pt idx="10">
                  <c:v>-6818.07</c:v>
                </c:pt>
                <c:pt idx="11">
                  <c:v>-6069.8299999999945</c:v>
                </c:pt>
              </c:numCache>
            </c:numRef>
          </c:val>
          <c:extLst>
            <c:ext xmlns:c15="http://schemas.microsoft.com/office/drawing/2012/chart" uri="{02D57815-91ED-43cb-92C2-25804820EDAC}">
              <c15:datalabelsRange>
                <c15:f>'PIVOT TABLE'!$N$2:$N$13</c15:f>
                <c15:dlblRangeCache>
                  <c:ptCount val="12"/>
                  <c:pt idx="0">
                    <c:v>-28%</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1-50CC-4D90-BB19-BFB7AF5575E9}"/>
            </c:ext>
          </c:extLst>
        </c:ser>
        <c:dLbls>
          <c:showLegendKey val="0"/>
          <c:showVal val="0"/>
          <c:showCatName val="0"/>
          <c:showSerName val="0"/>
          <c:showPercent val="0"/>
          <c:showBubbleSize val="0"/>
        </c:dLbls>
        <c:gapWidth val="50"/>
        <c:overlap val="-27"/>
        <c:axId val="2059512399"/>
        <c:axId val="2059514319"/>
      </c:barChart>
      <c:catAx>
        <c:axId val="2059512399"/>
        <c:scaling>
          <c:orientation val="minMax"/>
        </c:scaling>
        <c:delete val="1"/>
        <c:axPos val="b"/>
        <c:numFmt formatCode="General" sourceLinked="1"/>
        <c:majorTickMark val="none"/>
        <c:minorTickMark val="none"/>
        <c:tickLblPos val="nextTo"/>
        <c:crossAx val="2059514319"/>
        <c:crosses val="autoZero"/>
        <c:auto val="1"/>
        <c:lblAlgn val="ctr"/>
        <c:lblOffset val="100"/>
        <c:noMultiLvlLbl val="0"/>
      </c:catAx>
      <c:valAx>
        <c:axId val="2059514319"/>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51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72657765605385"/>
          <c:y val="3.822105570137066E-2"/>
          <c:w val="0.75349081364829396"/>
          <c:h val="0.8981481481481481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TABLE'!$AG$3:$AG$12</c:f>
              <c:strCache>
                <c:ptCount val="10"/>
                <c:pt idx="0">
                  <c:v>Milk</c:v>
                </c:pt>
                <c:pt idx="1">
                  <c:v>Plates</c:v>
                </c:pt>
                <c:pt idx="2">
                  <c:v>Rice flour</c:v>
                </c:pt>
                <c:pt idx="3">
                  <c:v>Grains</c:v>
                </c:pt>
                <c:pt idx="4">
                  <c:v>water cane</c:v>
                </c:pt>
                <c:pt idx="5">
                  <c:v>bun</c:v>
                </c:pt>
                <c:pt idx="6">
                  <c:v>carrot</c:v>
                </c:pt>
                <c:pt idx="7">
                  <c:v>Beetroot</c:v>
                </c:pt>
                <c:pt idx="8">
                  <c:v>Onion Leaf</c:v>
                </c:pt>
                <c:pt idx="9">
                  <c:v>Cabbage</c:v>
                </c:pt>
              </c:strCache>
            </c:strRef>
          </c:cat>
          <c:val>
            <c:numRef>
              <c:f>'PIVOT TABLE'!$AH$3:$AH$12</c:f>
              <c:numCache>
                <c:formatCode>General</c:formatCode>
                <c:ptCount val="10"/>
                <c:pt idx="0">
                  <c:v>5523.44</c:v>
                </c:pt>
                <c:pt idx="1">
                  <c:v>22945.919999999998</c:v>
                </c:pt>
                <c:pt idx="2">
                  <c:v>6249.5999999999995</c:v>
                </c:pt>
                <c:pt idx="3">
                  <c:v>13645.800000000001</c:v>
                </c:pt>
                <c:pt idx="4">
                  <c:v>8978.2000000000007</c:v>
                </c:pt>
                <c:pt idx="5">
                  <c:v>703.5</c:v>
                </c:pt>
                <c:pt idx="6">
                  <c:v>7222.5</c:v>
                </c:pt>
                <c:pt idx="7">
                  <c:v>5145.6000000000004</c:v>
                </c:pt>
                <c:pt idx="8">
                  <c:v>8871.1200000000008</c:v>
                </c:pt>
                <c:pt idx="9">
                  <c:v>3957.15</c:v>
                </c:pt>
              </c:numCache>
            </c:numRef>
          </c:val>
          <c:extLst>
            <c:ext xmlns:c16="http://schemas.microsoft.com/office/drawing/2014/chart" uri="{C3380CC4-5D6E-409C-BE32-E72D297353CC}">
              <c16:uniqueId val="{00000000-846D-449C-BB76-C22DDFCECFC1}"/>
            </c:ext>
          </c:extLst>
        </c:ser>
        <c:dLbls>
          <c:showLegendKey val="0"/>
          <c:showVal val="0"/>
          <c:showCatName val="0"/>
          <c:showSerName val="0"/>
          <c:showPercent val="0"/>
          <c:showBubbleSize val="0"/>
        </c:dLbls>
        <c:gapWidth val="50"/>
        <c:axId val="549896687"/>
        <c:axId val="549896207"/>
      </c:barChart>
      <c:catAx>
        <c:axId val="54989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896207"/>
        <c:crosses val="autoZero"/>
        <c:auto val="1"/>
        <c:lblAlgn val="ctr"/>
        <c:lblOffset val="100"/>
        <c:noMultiLvlLbl val="0"/>
      </c:catAx>
      <c:valAx>
        <c:axId val="549896207"/>
        <c:scaling>
          <c:orientation val="minMax"/>
        </c:scaling>
        <c:delete val="1"/>
        <c:axPos val="b"/>
        <c:numFmt formatCode="General" sourceLinked="1"/>
        <c:majorTickMark val="none"/>
        <c:minorTickMark val="none"/>
        <c:tickLblPos val="nextTo"/>
        <c:crossAx val="54989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[Sales-Dashboard-practice-file.xlsx]PIVOT TABLE!SalesType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TABLE'!$AV$1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F3-481C-91EB-A964727C9E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F3-481C-91EB-A964727C9E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F3-481C-91EB-A964727C9E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TABLE'!$AU$2:$AU$4</c:f>
              <c:strCache>
                <c:ptCount val="3"/>
                <c:pt idx="0">
                  <c:v>Direct Sales</c:v>
                </c:pt>
                <c:pt idx="1">
                  <c:v>Online</c:v>
                </c:pt>
                <c:pt idx="2">
                  <c:v>Wholesaler</c:v>
                </c:pt>
              </c:strCache>
            </c:strRef>
          </c:cat>
          <c:val>
            <c:numRef>
              <c:f>'PIVOT TABLE'!$AV$2:$AV$4</c:f>
              <c:numCache>
                <c:formatCode>[$$-409]#,##0.00</c:formatCode>
                <c:ptCount val="3"/>
                <c:pt idx="0">
                  <c:v>208140.15000000017</c:v>
                </c:pt>
                <c:pt idx="1">
                  <c:v>134394.72</c:v>
                </c:pt>
                <c:pt idx="2">
                  <c:v>59347.900000000009</c:v>
                </c:pt>
              </c:numCache>
            </c:numRef>
          </c:val>
          <c:extLst>
            <c:ext xmlns:c16="http://schemas.microsoft.com/office/drawing/2014/chart" uri="{C3380CC4-5D6E-409C-BE32-E72D297353CC}">
              <c16:uniqueId val="{00000000-1AE1-4C40-8E12-CAB6AD67BEF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[Sales-Dashboard-practice-file.xlsx]PIVOT TABLE!Paymentmode</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TABLE'!$AY$1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07-4E2A-9E0C-EE7ADE00C3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07-4E2A-9E0C-EE7ADE00C3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TABLE'!$AX$2:$AX$3</c:f>
              <c:strCache>
                <c:ptCount val="2"/>
                <c:pt idx="0">
                  <c:v>Cash</c:v>
                </c:pt>
                <c:pt idx="1">
                  <c:v>Online</c:v>
                </c:pt>
              </c:strCache>
            </c:strRef>
          </c:cat>
          <c:val>
            <c:numRef>
              <c:f>'PIVOT TABLE'!$AY$2:$AY$3</c:f>
              <c:numCache>
                <c:formatCode>[$$-409]#,##0.00</c:formatCode>
                <c:ptCount val="2"/>
                <c:pt idx="0">
                  <c:v>199516.90000000014</c:v>
                </c:pt>
                <c:pt idx="1">
                  <c:v>202365.87000000011</c:v>
                </c:pt>
              </c:numCache>
            </c:numRef>
          </c:val>
          <c:extLst>
            <c:ext xmlns:c16="http://schemas.microsoft.com/office/drawing/2014/chart" uri="{C3380CC4-5D6E-409C-BE32-E72D297353CC}">
              <c16:uniqueId val="{00000000-C3A2-40F0-B1B0-8FE80AA6F8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[Sales-Dashboard-practice-file.xlsx]PIVOT TABLE!Totalselling</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4100333933175"/>
          <c:y val="5.086484658284101E-2"/>
          <c:w val="0.81432174103237098"/>
          <c:h val="0.74667949839603387"/>
        </c:manualLayout>
      </c:layout>
      <c:areaChart>
        <c:grouping val="standard"/>
        <c:varyColors val="0"/>
        <c:ser>
          <c:idx val="0"/>
          <c:order val="0"/>
          <c:tx>
            <c:strRef>
              <c:f>'PIVOT TABLE'!$B$1</c:f>
              <c:strCache>
                <c:ptCount val="1"/>
                <c:pt idx="0">
                  <c:v>Total</c:v>
                </c:pt>
              </c:strCache>
            </c:strRef>
          </c:tx>
          <c:spPr>
            <a:solidFill>
              <a:schemeClr val="accent1"/>
            </a:solidFill>
            <a:ln>
              <a:noFill/>
            </a:ln>
            <a:effectLst/>
          </c:spPr>
          <c:cat>
            <c:strRef>
              <c:f>'PIVOT TABLE'!$A$2:$A$32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TABLE'!$B$2:$B$32</c:f>
              <c:numCache>
                <c:formatCode>[$$-409]#,##0.00</c:formatCode>
                <c:ptCount val="31"/>
                <c:pt idx="0">
                  <c:v>13167.81</c:v>
                </c:pt>
                <c:pt idx="1">
                  <c:v>13210.219999999998</c:v>
                </c:pt>
                <c:pt idx="2">
                  <c:v>20202.099999999999</c:v>
                </c:pt>
                <c:pt idx="3">
                  <c:v>11312.200000000003</c:v>
                </c:pt>
                <c:pt idx="4">
                  <c:v>11711.449999999997</c:v>
                </c:pt>
                <c:pt idx="5">
                  <c:v>14365.539999999997</c:v>
                </c:pt>
                <c:pt idx="6">
                  <c:v>7132.79</c:v>
                </c:pt>
                <c:pt idx="7">
                  <c:v>14262.46</c:v>
                </c:pt>
                <c:pt idx="8">
                  <c:v>16824.670000000002</c:v>
                </c:pt>
                <c:pt idx="9">
                  <c:v>15229.349999999999</c:v>
                </c:pt>
                <c:pt idx="10">
                  <c:v>11915.58</c:v>
                </c:pt>
                <c:pt idx="11">
                  <c:v>14837.36</c:v>
                </c:pt>
                <c:pt idx="12">
                  <c:v>8084.26</c:v>
                </c:pt>
                <c:pt idx="13">
                  <c:v>9461.1400000000012</c:v>
                </c:pt>
                <c:pt idx="14">
                  <c:v>12189.7</c:v>
                </c:pt>
                <c:pt idx="15">
                  <c:v>12762.63</c:v>
                </c:pt>
                <c:pt idx="16">
                  <c:v>3659.2400000000002</c:v>
                </c:pt>
                <c:pt idx="17">
                  <c:v>18582.39</c:v>
                </c:pt>
                <c:pt idx="18">
                  <c:v>10204.23</c:v>
                </c:pt>
                <c:pt idx="19">
                  <c:v>20482.780000000006</c:v>
                </c:pt>
                <c:pt idx="20">
                  <c:v>10665.4</c:v>
                </c:pt>
                <c:pt idx="21">
                  <c:v>11315.839999999997</c:v>
                </c:pt>
                <c:pt idx="22">
                  <c:v>18818.190000000002</c:v>
                </c:pt>
                <c:pt idx="23">
                  <c:v>11488.4</c:v>
                </c:pt>
                <c:pt idx="24">
                  <c:v>18688.43</c:v>
                </c:pt>
                <c:pt idx="25">
                  <c:v>13710.08</c:v>
                </c:pt>
                <c:pt idx="26">
                  <c:v>11440.67</c:v>
                </c:pt>
                <c:pt idx="27">
                  <c:v>13306.159999999998</c:v>
                </c:pt>
                <c:pt idx="28">
                  <c:v>8794.48</c:v>
                </c:pt>
                <c:pt idx="29">
                  <c:v>16666.27</c:v>
                </c:pt>
                <c:pt idx="30">
                  <c:v>7390.9499999999989</c:v>
                </c:pt>
              </c:numCache>
            </c:numRef>
          </c:val>
          <c:extLst>
            <c:ext xmlns:c16="http://schemas.microsoft.com/office/drawing/2014/chart" uri="{C3380CC4-5D6E-409C-BE32-E72D297353CC}">
              <c16:uniqueId val="{00000000-260D-40CC-92BA-BBA6C88F995C}"/>
            </c:ext>
          </c:extLst>
        </c:ser>
        <c:dLbls>
          <c:showLegendKey val="0"/>
          <c:showVal val="0"/>
          <c:showCatName val="0"/>
          <c:showSerName val="0"/>
          <c:showPercent val="0"/>
          <c:showBubbleSize val="0"/>
        </c:dLbls>
        <c:axId val="2059479759"/>
        <c:axId val="2059497039"/>
      </c:areaChart>
      <c:catAx>
        <c:axId val="2059479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crossAx val="2059497039"/>
        <c:crosses val="autoZero"/>
        <c:auto val="1"/>
        <c:lblAlgn val="ctr"/>
        <c:lblOffset val="100"/>
        <c:noMultiLvlLbl val="0"/>
      </c:catAx>
      <c:valAx>
        <c:axId val="2059497039"/>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crossAx val="205947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68416929366411E-2"/>
          <c:y val="3.55742329938388E-2"/>
          <c:w val="0.86976030204426336"/>
          <c:h val="0.69850557572614103"/>
        </c:manualLayout>
      </c:layout>
      <c:barChart>
        <c:barDir val="col"/>
        <c:grouping val="clustered"/>
        <c:varyColors val="0"/>
        <c:ser>
          <c:idx val="0"/>
          <c:order val="0"/>
          <c:tx>
            <c:strRef>
              <c:f>'PIVOT TABLE'!$L$1</c:f>
              <c:strCache>
                <c:ptCount val="1"/>
                <c:pt idx="0">
                  <c:v>Sales</c:v>
                </c:pt>
              </c:strCache>
            </c:strRef>
          </c:tx>
          <c:spPr>
            <a:solidFill>
              <a:schemeClr val="accent1"/>
            </a:solidFill>
            <a:ln>
              <a:noFill/>
            </a:ln>
            <a:effectLst/>
          </c:spPr>
          <c:invertIfNegative val="0"/>
          <c:dLbls>
            <c:delete val="1"/>
          </c:dLbls>
          <c:cat>
            <c:strRef>
              <c:f>'PIVOT TABLE'!$K$2:$K$13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TABLE'!$L$2:$L$13</c:f>
              <c:numCache>
                <c:formatCode>[$$-409]#,##0.00</c:formatCode>
                <c:ptCount val="12"/>
                <c:pt idx="0">
                  <c:v>34290</c:v>
                </c:pt>
                <c:pt idx="1">
                  <c:v>25341</c:v>
                </c:pt>
                <c:pt idx="2">
                  <c:v>23437</c:v>
                </c:pt>
                <c:pt idx="3">
                  <c:v>21282</c:v>
                </c:pt>
                <c:pt idx="4">
                  <c:v>26526</c:v>
                </c:pt>
                <c:pt idx="5">
                  <c:v>24879</c:v>
                </c:pt>
                <c:pt idx="6">
                  <c:v>29878</c:v>
                </c:pt>
                <c:pt idx="7">
                  <c:v>29831</c:v>
                </c:pt>
                <c:pt idx="8">
                  <c:v>28758</c:v>
                </c:pt>
                <c:pt idx="9">
                  <c:v>27842</c:v>
                </c:pt>
                <c:pt idx="10">
                  <c:v>29306</c:v>
                </c:pt>
                <c:pt idx="11">
                  <c:v>31499</c:v>
                </c:pt>
              </c:numCache>
            </c:numRef>
          </c:val>
          <c:extLst>
            <c:ext xmlns:c16="http://schemas.microsoft.com/office/drawing/2014/chart" uri="{C3380CC4-5D6E-409C-BE32-E72D297353CC}">
              <c16:uniqueId val="{00000000-A4CC-49B0-B770-50F8E5AC950A}"/>
            </c:ext>
          </c:extLst>
        </c:ser>
        <c:ser>
          <c:idx val="1"/>
          <c:order val="1"/>
          <c:tx>
            <c:strRef>
              <c:f>'PIVOT TABLE'!$M$1</c:f>
              <c:strCache>
                <c:ptCount val="1"/>
                <c:pt idx="0">
                  <c:v>Profit </c:v>
                </c:pt>
              </c:strCache>
            </c:strRef>
          </c:tx>
          <c:spPr>
            <a:solidFill>
              <a:schemeClr val="accent2"/>
            </a:solidFill>
            <a:ln>
              <a:noFill/>
            </a:ln>
            <a:effectLst/>
          </c:spPr>
          <c:invertIfNegative val="0"/>
          <c:dLbls>
            <c:dLbl>
              <c:idx val="0"/>
              <c:tx>
                <c:rich>
                  <a:bodyPr/>
                  <a:lstStyle/>
                  <a:p>
                    <a:fld id="{17DF5FB7-828D-40D8-9BB8-EFDFC0559BA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4CC-49B0-B770-50F8E5AC950A}"/>
                </c:ext>
              </c:extLst>
            </c:dLbl>
            <c:dLbl>
              <c:idx val="1"/>
              <c:tx>
                <c:rich>
                  <a:bodyPr/>
                  <a:lstStyle/>
                  <a:p>
                    <a:fld id="{23628DF3-6BC6-4B6E-A3D0-9675919AFB4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4CC-49B0-B770-50F8E5AC950A}"/>
                </c:ext>
              </c:extLst>
            </c:dLbl>
            <c:dLbl>
              <c:idx val="2"/>
              <c:tx>
                <c:rich>
                  <a:bodyPr/>
                  <a:lstStyle/>
                  <a:p>
                    <a:fld id="{D2CDCF57-865C-4B8B-AB96-D25A9AF4C93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4CC-49B0-B770-50F8E5AC950A}"/>
                </c:ext>
              </c:extLst>
            </c:dLbl>
            <c:dLbl>
              <c:idx val="3"/>
              <c:tx>
                <c:rich>
                  <a:bodyPr/>
                  <a:lstStyle/>
                  <a:p>
                    <a:fld id="{69F580C8-E621-4BE5-9DEB-3720FEB35F0E}"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4CC-49B0-B770-50F8E5AC950A}"/>
                </c:ext>
              </c:extLst>
            </c:dLbl>
            <c:dLbl>
              <c:idx val="4"/>
              <c:tx>
                <c:rich>
                  <a:bodyPr/>
                  <a:lstStyle/>
                  <a:p>
                    <a:fld id="{8C08CD72-AA78-49DF-AD64-9CE93150EFDB}"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4CC-49B0-B770-50F8E5AC950A}"/>
                </c:ext>
              </c:extLst>
            </c:dLbl>
            <c:dLbl>
              <c:idx val="5"/>
              <c:tx>
                <c:rich>
                  <a:bodyPr/>
                  <a:lstStyle/>
                  <a:p>
                    <a:fld id="{F1DBB229-840D-494F-92AB-E6E41D9C075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4CC-49B0-B770-50F8E5AC950A}"/>
                </c:ext>
              </c:extLst>
            </c:dLbl>
            <c:dLbl>
              <c:idx val="6"/>
              <c:tx>
                <c:rich>
                  <a:bodyPr/>
                  <a:lstStyle/>
                  <a:p>
                    <a:fld id="{59362A22-53F6-4352-962C-9DD587705D3C}"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4CC-49B0-B770-50F8E5AC950A}"/>
                </c:ext>
              </c:extLst>
            </c:dLbl>
            <c:dLbl>
              <c:idx val="7"/>
              <c:tx>
                <c:rich>
                  <a:bodyPr/>
                  <a:lstStyle/>
                  <a:p>
                    <a:fld id="{5CE44366-6280-47BE-85E7-BBC091BAEBC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4CC-49B0-B770-50F8E5AC950A}"/>
                </c:ext>
              </c:extLst>
            </c:dLbl>
            <c:dLbl>
              <c:idx val="8"/>
              <c:tx>
                <c:rich>
                  <a:bodyPr/>
                  <a:lstStyle/>
                  <a:p>
                    <a:fld id="{78A75145-688D-4B9E-8C95-946906D042C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4CC-49B0-B770-50F8E5AC950A}"/>
                </c:ext>
              </c:extLst>
            </c:dLbl>
            <c:dLbl>
              <c:idx val="9"/>
              <c:tx>
                <c:rich>
                  <a:bodyPr/>
                  <a:lstStyle/>
                  <a:p>
                    <a:fld id="{01404F8B-BBD1-403A-A0EB-A1D613FA572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4CC-49B0-B770-50F8E5AC950A}"/>
                </c:ext>
              </c:extLst>
            </c:dLbl>
            <c:dLbl>
              <c:idx val="10"/>
              <c:tx>
                <c:rich>
                  <a:bodyPr/>
                  <a:lstStyle/>
                  <a:p>
                    <a:fld id="{EE1658C3-417E-44D7-A09D-B4F72563AC2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4CC-49B0-B770-50F8E5AC950A}"/>
                </c:ext>
              </c:extLst>
            </c:dLbl>
            <c:dLbl>
              <c:idx val="11"/>
              <c:tx>
                <c:rich>
                  <a:bodyPr/>
                  <a:lstStyle/>
                  <a:p>
                    <a:fld id="{5332F60B-D966-4956-8B48-3C07478470EE}"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4CC-49B0-B770-50F8E5AC95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TABLE'!$K$2:$K$13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TABLE'!$M$2:$M$13</c:f>
              <c:numCache>
                <c:formatCode>[$$-409]#,##0.00</c:formatCode>
                <c:ptCount val="12"/>
                <c:pt idx="0">
                  <c:v>-7056.9600000000064</c:v>
                </c:pt>
                <c:pt idx="1">
                  <c:v>-5516.3000000000065</c:v>
                </c:pt>
                <c:pt idx="2">
                  <c:v>-5179.6499999999942</c:v>
                </c:pt>
                <c:pt idx="3">
                  <c:v>-5297.1099999999969</c:v>
                </c:pt>
                <c:pt idx="4">
                  <c:v>-4384.4500000000007</c:v>
                </c:pt>
                <c:pt idx="5">
                  <c:v>-5654.7099999999991</c:v>
                </c:pt>
                <c:pt idx="6">
                  <c:v>-5373.7900000000009</c:v>
                </c:pt>
                <c:pt idx="7">
                  <c:v>-5519.4000000000015</c:v>
                </c:pt>
                <c:pt idx="8">
                  <c:v>-6484.8100000000049</c:v>
                </c:pt>
                <c:pt idx="9">
                  <c:v>-5658.6900000000023</c:v>
                </c:pt>
                <c:pt idx="10">
                  <c:v>-6818.07</c:v>
                </c:pt>
                <c:pt idx="11">
                  <c:v>-6069.8299999999945</c:v>
                </c:pt>
              </c:numCache>
            </c:numRef>
          </c:val>
          <c:extLst>
            <c:ext xmlns:c15="http://schemas.microsoft.com/office/drawing/2012/chart" uri="{02D57815-91ED-43cb-92C2-25804820EDAC}">
              <c15:datalabelsRange>
                <c15:f>'PIVOT TABLE'!$N$2:$N$13</c15:f>
                <c15:dlblRangeCache>
                  <c:ptCount val="12"/>
                  <c:pt idx="0">
                    <c:v>-28%</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A4CC-49B0-B770-50F8E5AC950A}"/>
            </c:ext>
          </c:extLst>
        </c:ser>
        <c:dLbls>
          <c:dLblPos val="inEnd"/>
          <c:showLegendKey val="0"/>
          <c:showVal val="1"/>
          <c:showCatName val="0"/>
          <c:showSerName val="0"/>
          <c:showPercent val="0"/>
          <c:showBubbleSize val="0"/>
        </c:dLbls>
        <c:gapWidth val="219"/>
        <c:overlap val="-27"/>
        <c:axId val="2059512399"/>
        <c:axId val="2059514319"/>
      </c:barChart>
      <c:catAx>
        <c:axId val="2059512399"/>
        <c:scaling>
          <c:orientation val="minMax"/>
        </c:scaling>
        <c:delete val="0"/>
        <c:axPos val="b"/>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514319"/>
        <c:crosses val="autoZero"/>
        <c:auto val="1"/>
        <c:lblAlgn val="ctr"/>
        <c:lblOffset val="80"/>
        <c:noMultiLvlLbl val="0"/>
      </c:catAx>
      <c:valAx>
        <c:axId val="2059514319"/>
        <c:scaling>
          <c:orientation val="minMax"/>
          <c:max val="30000"/>
        </c:scaling>
        <c:delete val="0"/>
        <c:axPos val="l"/>
        <c:majorGridlines>
          <c:spPr>
            <a:ln w="9525" cap="flat" cmpd="sng" algn="ctr">
              <a:no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9512399"/>
        <c:crosses val="autoZero"/>
        <c:crossBetween val="between"/>
        <c:dispUnits>
          <c:builtInUnit val="hundre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72657765605385"/>
          <c:y val="3.822105570137066E-2"/>
          <c:w val="0.75349081364829396"/>
          <c:h val="0.8981481481481481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TABLE'!$AG$3:$AG$12</c:f>
              <c:strCache>
                <c:ptCount val="10"/>
                <c:pt idx="0">
                  <c:v>Milk</c:v>
                </c:pt>
                <c:pt idx="1">
                  <c:v>Plates</c:v>
                </c:pt>
                <c:pt idx="2">
                  <c:v>Rice flour</c:v>
                </c:pt>
                <c:pt idx="3">
                  <c:v>Grains</c:v>
                </c:pt>
                <c:pt idx="4">
                  <c:v>water cane</c:v>
                </c:pt>
                <c:pt idx="5">
                  <c:v>bun</c:v>
                </c:pt>
                <c:pt idx="6">
                  <c:v>carrot</c:v>
                </c:pt>
                <c:pt idx="7">
                  <c:v>Beetroot</c:v>
                </c:pt>
                <c:pt idx="8">
                  <c:v>Onion Leaf</c:v>
                </c:pt>
                <c:pt idx="9">
                  <c:v>Cabbage</c:v>
                </c:pt>
              </c:strCache>
            </c:strRef>
          </c:cat>
          <c:val>
            <c:numRef>
              <c:f>'PIVOT TABLE'!$AH$3:$AH$12</c:f>
              <c:numCache>
                <c:formatCode>General</c:formatCode>
                <c:ptCount val="10"/>
                <c:pt idx="0">
                  <c:v>5523.44</c:v>
                </c:pt>
                <c:pt idx="1">
                  <c:v>22945.919999999998</c:v>
                </c:pt>
                <c:pt idx="2">
                  <c:v>6249.5999999999995</c:v>
                </c:pt>
                <c:pt idx="3">
                  <c:v>13645.800000000001</c:v>
                </c:pt>
                <c:pt idx="4">
                  <c:v>8978.2000000000007</c:v>
                </c:pt>
                <c:pt idx="5">
                  <c:v>703.5</c:v>
                </c:pt>
                <c:pt idx="6">
                  <c:v>7222.5</c:v>
                </c:pt>
                <c:pt idx="7">
                  <c:v>5145.6000000000004</c:v>
                </c:pt>
                <c:pt idx="8">
                  <c:v>8871.1200000000008</c:v>
                </c:pt>
                <c:pt idx="9">
                  <c:v>3957.15</c:v>
                </c:pt>
              </c:numCache>
            </c:numRef>
          </c:val>
          <c:extLst>
            <c:ext xmlns:c16="http://schemas.microsoft.com/office/drawing/2014/chart" uri="{C3380CC4-5D6E-409C-BE32-E72D297353CC}">
              <c16:uniqueId val="{00000000-1829-4C2D-AED0-B6D0781F2101}"/>
            </c:ext>
          </c:extLst>
        </c:ser>
        <c:dLbls>
          <c:showLegendKey val="0"/>
          <c:showVal val="0"/>
          <c:showCatName val="0"/>
          <c:showSerName val="0"/>
          <c:showPercent val="0"/>
          <c:showBubbleSize val="0"/>
        </c:dLbls>
        <c:gapWidth val="50"/>
        <c:axId val="549896687"/>
        <c:axId val="549896207"/>
      </c:barChart>
      <c:catAx>
        <c:axId val="54989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49896207"/>
        <c:crosses val="autoZero"/>
        <c:auto val="1"/>
        <c:lblAlgn val="ctr"/>
        <c:lblOffset val="100"/>
        <c:noMultiLvlLbl val="0"/>
      </c:catAx>
      <c:valAx>
        <c:axId val="549896207"/>
        <c:scaling>
          <c:orientation val="minMax"/>
        </c:scaling>
        <c:delete val="1"/>
        <c:axPos val="b"/>
        <c:numFmt formatCode="General" sourceLinked="1"/>
        <c:majorTickMark val="none"/>
        <c:minorTickMark val="none"/>
        <c:tickLblPos val="nextTo"/>
        <c:crossAx val="54989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[Sales-Dashboard-practice-file.xlsx]PIVOT TABLE!SalesType</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TABLE'!$AV$1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49-4261-B1CE-BD5CA6C4DF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49-4261-B1CE-BD5CA6C4DF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49-4261-B1CE-BD5CA6C4DF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TABLE'!$AU$2:$AU$4</c:f>
              <c:strCache>
                <c:ptCount val="3"/>
                <c:pt idx="0">
                  <c:v>Direct Sales</c:v>
                </c:pt>
                <c:pt idx="1">
                  <c:v>Online</c:v>
                </c:pt>
                <c:pt idx="2">
                  <c:v>Wholesaler</c:v>
                </c:pt>
              </c:strCache>
            </c:strRef>
          </c:cat>
          <c:val>
            <c:numRef>
              <c:f>'PIVOT TABLE'!$AV$2:$AV$4</c:f>
              <c:numCache>
                <c:formatCode>[$$-409]#,##0.00</c:formatCode>
                <c:ptCount val="3"/>
                <c:pt idx="0">
                  <c:v>208140.15000000017</c:v>
                </c:pt>
                <c:pt idx="1">
                  <c:v>134394.72</c:v>
                </c:pt>
                <c:pt idx="2">
                  <c:v>59347.900000000009</c:v>
                </c:pt>
              </c:numCache>
            </c:numRef>
          </c:val>
          <c:extLst>
            <c:ext xmlns:c16="http://schemas.microsoft.com/office/drawing/2014/chart" uri="{C3380CC4-5D6E-409C-BE32-E72D297353CC}">
              <c16:uniqueId val="{00000006-E949-4261-B1CE-BD5CA6C4DF5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[Sales-Dashboard-practice-file.xlsx]PIVOT TABLE!Paymentmode</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pieChart>
        <c:varyColors val="1"/>
        <c:ser>
          <c:idx val="0"/>
          <c:order val="0"/>
          <c:tx>
            <c:strRef>
              <c:f>'PIVOT TABLE'!$AY$1</c:f>
              <c:strCache>
                <c:ptCount val="1"/>
                <c:pt idx="0">
                  <c:v>Total</c:v>
                </c:pt>
              </c:strCache>
            </c:strRef>
          </c:tx>
          <c:dPt>
            <c:idx val="0"/>
            <c:bubble3D val="0"/>
            <c:spPr>
              <a:solidFill>
                <a:schemeClr val="accent1"/>
              </a:solidFill>
              <a:ln w="19050">
                <a:noFill/>
              </a:ln>
              <a:effectLst/>
            </c:spPr>
            <c:extLst>
              <c:ext xmlns:c16="http://schemas.microsoft.com/office/drawing/2014/chart" uri="{C3380CC4-5D6E-409C-BE32-E72D297353CC}">
                <c16:uniqueId val="{00000001-D86F-4007-A528-E3AC57BA6FA2}"/>
              </c:ext>
            </c:extLst>
          </c:dPt>
          <c:dPt>
            <c:idx val="1"/>
            <c:bubble3D val="0"/>
            <c:spPr>
              <a:solidFill>
                <a:schemeClr val="accent2"/>
              </a:solidFill>
              <a:ln w="19050">
                <a:noFill/>
              </a:ln>
              <a:effectLst/>
            </c:spPr>
            <c:extLst>
              <c:ext xmlns:c16="http://schemas.microsoft.com/office/drawing/2014/chart" uri="{C3380CC4-5D6E-409C-BE32-E72D297353CC}">
                <c16:uniqueId val="{00000003-D86F-4007-A528-E3AC57BA6FA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TABLE'!$AX$2:$AX$3</c:f>
              <c:strCache>
                <c:ptCount val="2"/>
                <c:pt idx="0">
                  <c:v>Cash</c:v>
                </c:pt>
                <c:pt idx="1">
                  <c:v>Online</c:v>
                </c:pt>
              </c:strCache>
            </c:strRef>
          </c:cat>
          <c:val>
            <c:numRef>
              <c:f>'PIVOT TABLE'!$AY$2:$AY$3</c:f>
              <c:numCache>
                <c:formatCode>[$$-409]#,##0.00</c:formatCode>
                <c:ptCount val="2"/>
                <c:pt idx="0">
                  <c:v>199516.90000000014</c:v>
                </c:pt>
                <c:pt idx="1">
                  <c:v>202365.87000000011</c:v>
                </c:pt>
              </c:numCache>
            </c:numRef>
          </c:val>
          <c:extLst>
            <c:ext xmlns:c16="http://schemas.microsoft.com/office/drawing/2014/chart" uri="{C3380CC4-5D6E-409C-BE32-E72D297353CC}">
              <c16:uniqueId val="{00000004-D86F-4007-A528-E3AC57BA6FA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_xlchart.v1.0</cx:f>
      </cx:numDim>
    </cx:data>
  </cx:chartData>
  <cx:chart>
    <cx:plotArea>
      <cx:plotAreaRegion>
        <cx:series layoutId="treemap" uniqueId="{6923E07A-61BB-4F8C-A79B-FEF681750806}">
          <cx:dataLabels>
            <cx:visibility seriesName="0" categoryName="1" value="1"/>
            <cx:separator>
</cx:separator>
          </cx:dataLabels>
          <cx:dataId val="0"/>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_xlchart.v1.2</cx:f>
      </cx:numDim>
    </cx:data>
  </cx:chartData>
  <cx:chart>
    <cx:plotArea>
      <cx:plotAreaRegion>
        <cx:series layoutId="treemap" uniqueId="{6923E07A-61BB-4F8C-A79B-FEF681750806}">
          <cx:dataLabels>
            <cx:visibility seriesName="0" categoryName="1" value="1"/>
            <cx:separator>
</cx:separator>
          </cx:dataLabels>
          <cx:dataId val="0"/>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PIVOT TABLE'!$L$14" lockText="1" noThreeD="1"/>
</file>

<file path=xl/ctrlProps/ctrlProp2.xml><?xml version="1.0" encoding="utf-8"?>
<formControlPr xmlns="http://schemas.microsoft.com/office/spreadsheetml/2009/9/main" objectType="CheckBox" checked="Checked" fmlaLink="'PIVOT TABLE'!$M$14" lockText="1" noThreeD="1"/>
</file>

<file path=xl/ctrlProps/ctrlProp3.xml><?xml version="1.0" encoding="utf-8"?>
<formControlPr xmlns="http://schemas.microsoft.com/office/spreadsheetml/2009/9/main" objectType="CheckBox" checked="Checked" fmlaLink="'PIVOT TABLE'!$N$14" lockText="1" noThreeD="1"/>
</file>

<file path=xl/ctrlProps/ctrlProp4.xml><?xml version="1.0" encoding="utf-8"?>
<formControlPr xmlns="http://schemas.microsoft.com/office/spreadsheetml/2009/9/main" objectType="Scroll" dx="22" fmlaLink="'PIVOT TABLE'!$AG$1" max="100" min="1" page="10" val="29"/>
</file>

<file path=xl/ctrlProps/ctrlProp5.xml><?xml version="1.0" encoding="utf-8"?>
<formControlPr xmlns="http://schemas.microsoft.com/office/spreadsheetml/2009/9/main" objectType="CheckBox" checked="Checked" fmlaLink="'PIVOT TABLE'!$L$14" lockText="1" noThreeD="1"/>
</file>

<file path=xl/ctrlProps/ctrlProp6.xml><?xml version="1.0" encoding="utf-8"?>
<formControlPr xmlns="http://schemas.microsoft.com/office/spreadsheetml/2009/9/main" objectType="CheckBox" checked="Checked" fmlaLink="'PIVOT TABLE'!$N$14" lockText="1" noThreeD="1"/>
</file>

<file path=xl/ctrlProps/ctrlProp7.xml><?xml version="1.0" encoding="utf-8"?>
<formControlPr xmlns="http://schemas.microsoft.com/office/spreadsheetml/2009/9/main" objectType="CheckBox" checked="Checked" fmlaLink="'PIVOT TABLE'!$M$14" lockText="1" noThreeD="1"/>
</file>

<file path=xl/ctrlProps/ctrlProp8.xml><?xml version="1.0" encoding="utf-8"?>
<formControlPr xmlns="http://schemas.microsoft.com/office/spreadsheetml/2009/9/main" objectType="Scroll" dx="22" fmlaLink="'PIVOT TABLE'!$AG$1" max="100" min="1" page="10" val="29"/>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3" Type="http://schemas.openxmlformats.org/officeDocument/2006/relationships/image" Target="../media/image26.png"/><Relationship Id="rId18" Type="http://schemas.openxmlformats.org/officeDocument/2006/relationships/image" Target="../media/image31.svg"/><Relationship Id="rId26" Type="http://schemas.openxmlformats.org/officeDocument/2006/relationships/chart" Target="../charts/chart7.xml"/><Relationship Id="rId3" Type="http://schemas.openxmlformats.org/officeDocument/2006/relationships/image" Target="../media/image16.png"/><Relationship Id="rId21" Type="http://schemas.openxmlformats.org/officeDocument/2006/relationships/image" Target="../media/image34.png"/><Relationship Id="rId7" Type="http://schemas.openxmlformats.org/officeDocument/2006/relationships/image" Target="../media/image20.png"/><Relationship Id="rId12" Type="http://schemas.openxmlformats.org/officeDocument/2006/relationships/image" Target="../media/image25.svg"/><Relationship Id="rId17" Type="http://schemas.openxmlformats.org/officeDocument/2006/relationships/image" Target="../media/image30.png"/><Relationship Id="rId25" Type="http://schemas.openxmlformats.org/officeDocument/2006/relationships/chart" Target="../charts/chart6.xml"/><Relationship Id="rId33" Type="http://schemas.openxmlformats.org/officeDocument/2006/relationships/image" Target="../media/image40.png"/><Relationship Id="rId2" Type="http://schemas.openxmlformats.org/officeDocument/2006/relationships/image" Target="../media/image15.svg"/><Relationship Id="rId16" Type="http://schemas.openxmlformats.org/officeDocument/2006/relationships/image" Target="../media/image29.svg"/><Relationship Id="rId20" Type="http://schemas.openxmlformats.org/officeDocument/2006/relationships/image" Target="../media/image33.svg"/><Relationship Id="rId29" Type="http://schemas.openxmlformats.org/officeDocument/2006/relationships/chart" Target="../charts/chart9.xml"/><Relationship Id="rId1" Type="http://schemas.openxmlformats.org/officeDocument/2006/relationships/image" Target="../media/image14.png"/><Relationship Id="rId6" Type="http://schemas.openxmlformats.org/officeDocument/2006/relationships/image" Target="../media/image19.svg"/><Relationship Id="rId11" Type="http://schemas.openxmlformats.org/officeDocument/2006/relationships/image" Target="../media/image24.png"/><Relationship Id="rId24" Type="http://schemas.openxmlformats.org/officeDocument/2006/relationships/image" Target="../media/image37.svg"/><Relationship Id="rId32" Type="http://schemas.openxmlformats.org/officeDocument/2006/relationships/image" Target="../media/image39.svg"/><Relationship Id="rId5" Type="http://schemas.openxmlformats.org/officeDocument/2006/relationships/image" Target="../media/image18.png"/><Relationship Id="rId15" Type="http://schemas.openxmlformats.org/officeDocument/2006/relationships/image" Target="../media/image28.png"/><Relationship Id="rId23" Type="http://schemas.openxmlformats.org/officeDocument/2006/relationships/image" Target="../media/image36.png"/><Relationship Id="rId28" Type="http://schemas.microsoft.com/office/2014/relationships/chartEx" Target="../charts/chartEx2.xml"/><Relationship Id="rId10" Type="http://schemas.openxmlformats.org/officeDocument/2006/relationships/image" Target="../media/image23.svg"/><Relationship Id="rId19" Type="http://schemas.openxmlformats.org/officeDocument/2006/relationships/image" Target="../media/image32.png"/><Relationship Id="rId31" Type="http://schemas.openxmlformats.org/officeDocument/2006/relationships/image" Target="../media/image38.png"/><Relationship Id="rId4" Type="http://schemas.openxmlformats.org/officeDocument/2006/relationships/image" Target="../media/image17.svg"/><Relationship Id="rId9" Type="http://schemas.openxmlformats.org/officeDocument/2006/relationships/image" Target="../media/image22.png"/><Relationship Id="rId14" Type="http://schemas.openxmlformats.org/officeDocument/2006/relationships/image" Target="../media/image27.svg"/><Relationship Id="rId22" Type="http://schemas.openxmlformats.org/officeDocument/2006/relationships/image" Target="../media/image35.svg"/><Relationship Id="rId27" Type="http://schemas.openxmlformats.org/officeDocument/2006/relationships/chart" Target="../charts/chart8.xml"/><Relationship Id="rId30" Type="http://schemas.openxmlformats.org/officeDocument/2006/relationships/chart" Target="../charts/chart10.xml"/><Relationship Id="rId8" Type="http://schemas.openxmlformats.org/officeDocument/2006/relationships/image" Target="../media/image21.svg"/></Relationships>
</file>

<file path=xl/drawings/drawing1.xml><?xml version="1.0" encoding="utf-8"?>
<xdr:wsDr xmlns:xdr="http://schemas.openxmlformats.org/drawingml/2006/spreadsheetDrawing" xmlns:a="http://schemas.openxmlformats.org/drawingml/2006/main">
  <xdr:twoCellAnchor editAs="oneCell">
    <xdr:from>
      <xdr:col>7</xdr:col>
      <xdr:colOff>828675</xdr:colOff>
      <xdr:row>16</xdr:row>
      <xdr:rowOff>47625</xdr:rowOff>
    </xdr:from>
    <xdr:to>
      <xdr:col>8</xdr:col>
      <xdr:colOff>752475</xdr:colOff>
      <xdr:row>29</xdr:row>
      <xdr:rowOff>95250</xdr:rowOff>
    </xdr:to>
    <mc:AlternateContent xmlns:mc="http://schemas.openxmlformats.org/markup-compatibility/2006" xmlns:a14="http://schemas.microsoft.com/office/drawing/2010/main">
      <mc:Choice Requires="a14">
        <xdr:graphicFrame macro="">
          <xdr:nvGraphicFramePr>
            <xdr:cNvPr id="2" name="PAYMENT MODE">
              <a:extLst>
                <a:ext uri="{FF2B5EF4-FFF2-40B4-BE49-F238E27FC236}">
                  <a16:creationId xmlns:a16="http://schemas.microsoft.com/office/drawing/2014/main" id="{7331CCF2-2643-F17B-81BD-0D4BA277AD7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201150" y="3095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85725</xdr:colOff>
      <xdr:row>16</xdr:row>
      <xdr:rowOff>85725</xdr:rowOff>
    </xdr:from>
    <xdr:to>
      <xdr:col>5</xdr:col>
      <xdr:colOff>76200</xdr:colOff>
      <xdr:row>29</xdr:row>
      <xdr:rowOff>133350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A22D95D0-AF66-FC93-D0E2-B0C03A7A166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381625" y="3133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xdr:colOff>
      <xdr:row>16</xdr:row>
      <xdr:rowOff>66675</xdr:rowOff>
    </xdr:from>
    <xdr:to>
      <xdr:col>7</xdr:col>
      <xdr:colOff>742950</xdr:colOff>
      <xdr:row>29</xdr:row>
      <xdr:rowOff>114300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F9251D8D-B168-2B2B-02B8-FB348504D49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86625" y="3114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16</xdr:row>
      <xdr:rowOff>57150</xdr:rowOff>
    </xdr:from>
    <xdr:to>
      <xdr:col>3</xdr:col>
      <xdr:colOff>1828800</xdr:colOff>
      <xdr:row>29</xdr:row>
      <xdr:rowOff>104775</xdr:rowOff>
    </xdr:to>
    <mc:AlternateContent xmlns:mc="http://schemas.openxmlformats.org/markup-compatibility/2006" xmlns:a14="http://schemas.microsoft.com/office/drawing/2010/main">
      <mc:Choice Requires="a14">
        <xdr:graphicFrame macro="">
          <xdr:nvGraphicFramePr>
            <xdr:cNvPr id="6" name="SALE TYPE">
              <a:extLst>
                <a:ext uri="{FF2B5EF4-FFF2-40B4-BE49-F238E27FC236}">
                  <a16:creationId xmlns:a16="http://schemas.microsoft.com/office/drawing/2014/main" id="{D2BBA41C-5701-C3BE-9139-A82CA7D667E1}"/>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3390900" y="3105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30</xdr:row>
      <xdr:rowOff>180975</xdr:rowOff>
    </xdr:from>
    <xdr:to>
      <xdr:col>3</xdr:col>
      <xdr:colOff>1181100</xdr:colOff>
      <xdr:row>45</xdr:row>
      <xdr:rowOff>66675</xdr:rowOff>
    </xdr:to>
    <xdr:graphicFrame macro="">
      <xdr:nvGraphicFramePr>
        <xdr:cNvPr id="7" name="Chart 6">
          <a:extLst>
            <a:ext uri="{FF2B5EF4-FFF2-40B4-BE49-F238E27FC236}">
              <a16:creationId xmlns:a16="http://schemas.microsoft.com/office/drawing/2014/main" id="{BF44D691-1030-193E-D606-9FC3D0833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1323975</xdr:colOff>
      <xdr:row>17</xdr:row>
      <xdr:rowOff>66674</xdr:rowOff>
    </xdr:from>
    <xdr:to>
      <xdr:col>12</xdr:col>
      <xdr:colOff>19050</xdr:colOff>
      <xdr:row>25</xdr:row>
      <xdr:rowOff>190499</xdr:rowOff>
    </xdr:to>
    <xdr:graphicFrame macro="">
      <xdr:nvGraphicFramePr>
        <xdr:cNvPr id="8" name="Chart 7">
          <a:extLst>
            <a:ext uri="{FF2B5EF4-FFF2-40B4-BE49-F238E27FC236}">
              <a16:creationId xmlns:a16="http://schemas.microsoft.com/office/drawing/2014/main" id="{5DEAE314-D3EA-2952-5931-BCC18AA88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114300</xdr:colOff>
          <xdr:row>15</xdr:row>
          <xdr:rowOff>9525</xdr:rowOff>
        </xdr:from>
        <xdr:to>
          <xdr:col>12</xdr:col>
          <xdr:colOff>9525</xdr:colOff>
          <xdr:row>16</xdr:row>
          <xdr:rowOff>38100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2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14</xdr:row>
          <xdr:rowOff>180975</xdr:rowOff>
        </xdr:from>
        <xdr:to>
          <xdr:col>13</xdr:col>
          <xdr:colOff>76200</xdr:colOff>
          <xdr:row>16</xdr:row>
          <xdr:rowOff>19050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171450</xdr:colOff>
          <xdr:row>15</xdr:row>
          <xdr:rowOff>19050</xdr:rowOff>
        </xdr:from>
        <xdr:to>
          <xdr:col>15</xdr:col>
          <xdr:colOff>0</xdr:colOff>
          <xdr:row>16</xdr:row>
          <xdr:rowOff>47625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32</xdr:col>
      <xdr:colOff>523875</xdr:colOff>
      <xdr:row>13</xdr:row>
      <xdr:rowOff>104775</xdr:rowOff>
    </xdr:from>
    <xdr:to>
      <xdr:col>36</xdr:col>
      <xdr:colOff>0</xdr:colOff>
      <xdr:row>27</xdr:row>
      <xdr:rowOff>180975</xdr:rowOff>
    </xdr:to>
    <xdr:graphicFrame macro="">
      <xdr:nvGraphicFramePr>
        <xdr:cNvPr id="10" name="Chart 9">
          <a:extLst>
            <a:ext uri="{FF2B5EF4-FFF2-40B4-BE49-F238E27FC236}">
              <a16:creationId xmlns:a16="http://schemas.microsoft.com/office/drawing/2014/main" id="{8B2D117F-7CC0-9B02-6E29-4D40349A6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32</xdr:col>
          <xdr:colOff>76200</xdr:colOff>
          <xdr:row>13</xdr:row>
          <xdr:rowOff>85725</xdr:rowOff>
        </xdr:from>
        <xdr:to>
          <xdr:col>32</xdr:col>
          <xdr:colOff>428625</xdr:colOff>
          <xdr:row>27</xdr:row>
          <xdr:rowOff>190500</xdr:rowOff>
        </xdr:to>
        <xdr:sp macro="" textlink="">
          <xdr:nvSpPr>
            <xdr:cNvPr id="3081" name="Scroll Bar 9" hidden="1">
              <a:extLst>
                <a:ext uri="{63B3BB69-23CF-44E3-9099-C40C66FF867C}">
                  <a14:compatExt spid="_x0000_s3081"/>
                </a:ext>
                <a:ext uri="{FF2B5EF4-FFF2-40B4-BE49-F238E27FC236}">
                  <a16:creationId xmlns:a16="http://schemas.microsoft.com/office/drawing/2014/main" id="{00000000-0008-0000-0200-000009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40</xdr:col>
      <xdr:colOff>1724025</xdr:colOff>
      <xdr:row>6</xdr:row>
      <xdr:rowOff>152401</xdr:rowOff>
    </xdr:from>
    <xdr:to>
      <xdr:col>42</xdr:col>
      <xdr:colOff>1657350</xdr:colOff>
      <xdr:row>20</xdr:row>
      <xdr:rowOff>95250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5A1D784-1965-8F76-D443-818EC8D747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3386375" y="1295401"/>
              <a:ext cx="3743325" cy="26098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44</xdr:col>
      <xdr:colOff>114301</xdr:colOff>
      <xdr:row>4</xdr:row>
      <xdr:rowOff>171450</xdr:rowOff>
    </xdr:from>
    <xdr:to>
      <xdr:col>44</xdr:col>
      <xdr:colOff>1562100</xdr:colOff>
      <xdr:row>16</xdr:row>
      <xdr:rowOff>38100</xdr:rowOff>
    </xdr:to>
    <xdr:graphicFrame macro="">
      <xdr:nvGraphicFramePr>
        <xdr:cNvPr id="9" name="Chart 8">
          <a:extLst>
            <a:ext uri="{FF2B5EF4-FFF2-40B4-BE49-F238E27FC236}">
              <a16:creationId xmlns:a16="http://schemas.microsoft.com/office/drawing/2014/main" id="{C3AD26BB-FF11-D6E8-C51F-87793791B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742950</xdr:colOff>
      <xdr:row>5</xdr:row>
      <xdr:rowOff>76200</xdr:rowOff>
    </xdr:from>
    <xdr:to>
      <xdr:col>47</xdr:col>
      <xdr:colOff>1543050</xdr:colOff>
      <xdr:row>13</xdr:row>
      <xdr:rowOff>161925</xdr:rowOff>
    </xdr:to>
    <xdr:graphicFrame macro="">
      <xdr:nvGraphicFramePr>
        <xdr:cNvPr id="14" name="Chart 13">
          <a:extLst>
            <a:ext uri="{FF2B5EF4-FFF2-40B4-BE49-F238E27FC236}">
              <a16:creationId xmlns:a16="http://schemas.microsoft.com/office/drawing/2014/main" id="{5803D14F-0F69-CE17-64FE-5F74B3F51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66673</xdr:rowOff>
    </xdr:from>
    <xdr:to>
      <xdr:col>19</xdr:col>
      <xdr:colOff>76200</xdr:colOff>
      <xdr:row>31</xdr:row>
      <xdr:rowOff>166687</xdr:rowOff>
    </xdr:to>
    <xdr:sp macro="" textlink="">
      <xdr:nvSpPr>
        <xdr:cNvPr id="25" name="Rectangle 24">
          <a:extLst>
            <a:ext uri="{FF2B5EF4-FFF2-40B4-BE49-F238E27FC236}">
              <a16:creationId xmlns:a16="http://schemas.microsoft.com/office/drawing/2014/main" id="{C39CCF44-12E7-68D9-A30C-3097C3F268C8}"/>
            </a:ext>
          </a:extLst>
        </xdr:cNvPr>
        <xdr:cNvSpPr/>
      </xdr:nvSpPr>
      <xdr:spPr>
        <a:xfrm>
          <a:off x="57150" y="66673"/>
          <a:ext cx="11556206" cy="6005514"/>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69520</xdr:colOff>
      <xdr:row>0</xdr:row>
      <xdr:rowOff>66674</xdr:rowOff>
    </xdr:from>
    <xdr:to>
      <xdr:col>8</xdr:col>
      <xdr:colOff>145720</xdr:colOff>
      <xdr:row>3</xdr:row>
      <xdr:rowOff>95249</xdr:rowOff>
    </xdr:to>
    <xdr:sp macro="" textlink="">
      <xdr:nvSpPr>
        <xdr:cNvPr id="2" name="Rectangle 1">
          <a:extLst>
            <a:ext uri="{FF2B5EF4-FFF2-40B4-BE49-F238E27FC236}">
              <a16:creationId xmlns:a16="http://schemas.microsoft.com/office/drawing/2014/main" id="{35573130-3BB3-110F-2438-523F78F4711F}"/>
            </a:ext>
          </a:extLst>
        </xdr:cNvPr>
        <xdr:cNvSpPr/>
      </xdr:nvSpPr>
      <xdr:spPr>
        <a:xfrm>
          <a:off x="69520" y="66674"/>
          <a:ext cx="4925291" cy="58523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210292</xdr:colOff>
      <xdr:row>0</xdr:row>
      <xdr:rowOff>57150</xdr:rowOff>
    </xdr:from>
    <xdr:to>
      <xdr:col>18</xdr:col>
      <xdr:colOff>590551</xdr:colOff>
      <xdr:row>3</xdr:row>
      <xdr:rowOff>85726</xdr:rowOff>
    </xdr:to>
    <xdr:sp macro="" textlink="">
      <xdr:nvSpPr>
        <xdr:cNvPr id="3" name="Rectangle 2">
          <a:extLst>
            <a:ext uri="{FF2B5EF4-FFF2-40B4-BE49-F238E27FC236}">
              <a16:creationId xmlns:a16="http://schemas.microsoft.com/office/drawing/2014/main" id="{8348C8A0-833A-4D9C-A8D6-2590370F599D}"/>
            </a:ext>
          </a:extLst>
        </xdr:cNvPr>
        <xdr:cNvSpPr/>
      </xdr:nvSpPr>
      <xdr:spPr>
        <a:xfrm>
          <a:off x="5059383" y="57150"/>
          <a:ext cx="6441623" cy="585232"/>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57151</xdr:colOff>
      <xdr:row>3</xdr:row>
      <xdr:rowOff>142875</xdr:rowOff>
    </xdr:from>
    <xdr:to>
      <xdr:col>1</xdr:col>
      <xdr:colOff>381000</xdr:colOff>
      <xdr:row>6</xdr:row>
      <xdr:rowOff>104775</xdr:rowOff>
    </xdr:to>
    <xdr:sp macro="" textlink="">
      <xdr:nvSpPr>
        <xdr:cNvPr id="4" name="Rectangle 3">
          <a:extLst>
            <a:ext uri="{FF2B5EF4-FFF2-40B4-BE49-F238E27FC236}">
              <a16:creationId xmlns:a16="http://schemas.microsoft.com/office/drawing/2014/main" id="{ED4A0301-BB48-4B22-A9EF-84348E6B0F14}"/>
            </a:ext>
          </a:extLst>
        </xdr:cNvPr>
        <xdr:cNvSpPr/>
      </xdr:nvSpPr>
      <xdr:spPr>
        <a:xfrm>
          <a:off x="57151" y="714375"/>
          <a:ext cx="933449" cy="533400"/>
        </a:xfrm>
        <a:prstGeom prst="rect">
          <a:avLst/>
        </a:prstGeom>
        <a:solidFill>
          <a:schemeClr val="accent4">
            <a:lumMod val="75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7</xdr:row>
      <xdr:rowOff>19050</xdr:rowOff>
    </xdr:from>
    <xdr:to>
      <xdr:col>1</xdr:col>
      <xdr:colOff>438150</xdr:colOff>
      <xdr:row>23</xdr:row>
      <xdr:rowOff>133350</xdr:rowOff>
    </xdr:to>
    <xdr:sp macro="" textlink="">
      <xdr:nvSpPr>
        <xdr:cNvPr id="5" name="Rectangle 4">
          <a:extLst>
            <a:ext uri="{FF2B5EF4-FFF2-40B4-BE49-F238E27FC236}">
              <a16:creationId xmlns:a16="http://schemas.microsoft.com/office/drawing/2014/main" id="{9F470B66-F4FE-4B3E-8D58-F55CEC90EA89}"/>
            </a:ext>
          </a:extLst>
        </xdr:cNvPr>
        <xdr:cNvSpPr/>
      </xdr:nvSpPr>
      <xdr:spPr>
        <a:xfrm>
          <a:off x="66675" y="1352550"/>
          <a:ext cx="981075" cy="3162300"/>
        </a:xfrm>
        <a:prstGeom prst="rect">
          <a:avLst/>
        </a:prstGeom>
        <a:solidFill>
          <a:schemeClr val="accent4">
            <a:lumMod val="75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10583</xdr:colOff>
      <xdr:row>3</xdr:row>
      <xdr:rowOff>142875</xdr:rowOff>
    </xdr:from>
    <xdr:to>
      <xdr:col>6</xdr:col>
      <xdr:colOff>314324</xdr:colOff>
      <xdr:row>6</xdr:row>
      <xdr:rowOff>1</xdr:rowOff>
    </xdr:to>
    <xdr:sp macro="" textlink="">
      <xdr:nvSpPr>
        <xdr:cNvPr id="6" name="Rectangle 5">
          <a:extLst>
            <a:ext uri="{FF2B5EF4-FFF2-40B4-BE49-F238E27FC236}">
              <a16:creationId xmlns:a16="http://schemas.microsoft.com/office/drawing/2014/main" id="{DED73CDC-18E3-4CD4-8F38-5674DB58D8DC}"/>
            </a:ext>
          </a:extLst>
        </xdr:cNvPr>
        <xdr:cNvSpPr/>
      </xdr:nvSpPr>
      <xdr:spPr>
        <a:xfrm>
          <a:off x="1238250" y="714375"/>
          <a:ext cx="2759074" cy="428626"/>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114301</xdr:colOff>
      <xdr:row>25</xdr:row>
      <xdr:rowOff>130969</xdr:rowOff>
    </xdr:from>
    <xdr:to>
      <xdr:col>1</xdr:col>
      <xdr:colOff>457201</xdr:colOff>
      <xdr:row>29</xdr:row>
      <xdr:rowOff>190499</xdr:rowOff>
    </xdr:to>
    <xdr:sp macro="" textlink="">
      <xdr:nvSpPr>
        <xdr:cNvPr id="7" name="Oval 6">
          <a:extLst>
            <a:ext uri="{FF2B5EF4-FFF2-40B4-BE49-F238E27FC236}">
              <a16:creationId xmlns:a16="http://schemas.microsoft.com/office/drawing/2014/main" id="{4FF4B2C9-2ECB-19A0-C273-00B76F1D025D}"/>
            </a:ext>
          </a:extLst>
        </xdr:cNvPr>
        <xdr:cNvSpPr/>
      </xdr:nvSpPr>
      <xdr:spPr>
        <a:xfrm>
          <a:off x="114301" y="4893469"/>
          <a:ext cx="950119" cy="821530"/>
        </a:xfrm>
        <a:prstGeom prst="ellips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381000</xdr:colOff>
      <xdr:row>3</xdr:row>
      <xdr:rowOff>133350</xdr:rowOff>
    </xdr:from>
    <xdr:to>
      <xdr:col>11</xdr:col>
      <xdr:colOff>9525</xdr:colOff>
      <xdr:row>6</xdr:row>
      <xdr:rowOff>0</xdr:rowOff>
    </xdr:to>
    <xdr:sp macro="" textlink="">
      <xdr:nvSpPr>
        <xdr:cNvPr id="8" name="Rectangle 7">
          <a:extLst>
            <a:ext uri="{FF2B5EF4-FFF2-40B4-BE49-F238E27FC236}">
              <a16:creationId xmlns:a16="http://schemas.microsoft.com/office/drawing/2014/main" id="{298C1433-C612-480E-9C29-351BDBB6B607}"/>
            </a:ext>
          </a:extLst>
        </xdr:cNvPr>
        <xdr:cNvSpPr/>
      </xdr:nvSpPr>
      <xdr:spPr>
        <a:xfrm>
          <a:off x="4038600" y="704850"/>
          <a:ext cx="2676525" cy="43815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66675</xdr:colOff>
      <xdr:row>3</xdr:row>
      <xdr:rowOff>142874</xdr:rowOff>
    </xdr:from>
    <xdr:to>
      <xdr:col>15</xdr:col>
      <xdr:colOff>95250</xdr:colOff>
      <xdr:row>5</xdr:row>
      <xdr:rowOff>190499</xdr:rowOff>
    </xdr:to>
    <xdr:sp macro="" textlink="">
      <xdr:nvSpPr>
        <xdr:cNvPr id="9" name="Rectangle 8">
          <a:extLst>
            <a:ext uri="{FF2B5EF4-FFF2-40B4-BE49-F238E27FC236}">
              <a16:creationId xmlns:a16="http://schemas.microsoft.com/office/drawing/2014/main" id="{517A5C79-0E2E-4BE6-A9CA-E1B604B95CF0}"/>
            </a:ext>
          </a:extLst>
        </xdr:cNvPr>
        <xdr:cNvSpPr/>
      </xdr:nvSpPr>
      <xdr:spPr>
        <a:xfrm>
          <a:off x="6772275" y="714374"/>
          <a:ext cx="2466975" cy="42862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19049</xdr:colOff>
      <xdr:row>6</xdr:row>
      <xdr:rowOff>47623</xdr:rowOff>
    </xdr:from>
    <xdr:to>
      <xdr:col>8</xdr:col>
      <xdr:colOff>390524</xdr:colOff>
      <xdr:row>18</xdr:row>
      <xdr:rowOff>161924</xdr:rowOff>
    </xdr:to>
    <xdr:sp macro="" textlink="">
      <xdr:nvSpPr>
        <xdr:cNvPr id="10" name="Rectangle 9">
          <a:extLst>
            <a:ext uri="{FF2B5EF4-FFF2-40B4-BE49-F238E27FC236}">
              <a16:creationId xmlns:a16="http://schemas.microsoft.com/office/drawing/2014/main" id="{8FC3C262-4693-4337-8A21-D3B950AE5347}"/>
            </a:ext>
          </a:extLst>
        </xdr:cNvPr>
        <xdr:cNvSpPr/>
      </xdr:nvSpPr>
      <xdr:spPr>
        <a:xfrm>
          <a:off x="1238249" y="1190623"/>
          <a:ext cx="4029075" cy="240030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vert="horz" bIns="457200" rtlCol="0" anchor="t"/>
        <a:lstStyle/>
        <a:p>
          <a:pPr algn="l"/>
          <a:endParaRPr lang="en-IN" sz="1100">
            <a:solidFill>
              <a:schemeClr val="lt1"/>
            </a:solidFill>
          </a:endParaRPr>
        </a:p>
      </xdr:txBody>
    </xdr:sp>
    <xdr:clientData/>
  </xdr:twoCellAnchor>
  <xdr:twoCellAnchor>
    <xdr:from>
      <xdr:col>8</xdr:col>
      <xdr:colOff>438151</xdr:colOff>
      <xdr:row>6</xdr:row>
      <xdr:rowOff>47625</xdr:rowOff>
    </xdr:from>
    <xdr:to>
      <xdr:col>12</xdr:col>
      <xdr:colOff>266701</xdr:colOff>
      <xdr:row>18</xdr:row>
      <xdr:rowOff>152400</xdr:rowOff>
    </xdr:to>
    <xdr:sp macro="" textlink="">
      <xdr:nvSpPr>
        <xdr:cNvPr id="11" name="Rectangle 10">
          <a:extLst>
            <a:ext uri="{FF2B5EF4-FFF2-40B4-BE49-F238E27FC236}">
              <a16:creationId xmlns:a16="http://schemas.microsoft.com/office/drawing/2014/main" id="{659DCC36-3CD7-4A76-8289-C694E88F07E1}"/>
            </a:ext>
          </a:extLst>
        </xdr:cNvPr>
        <xdr:cNvSpPr/>
      </xdr:nvSpPr>
      <xdr:spPr>
        <a:xfrm>
          <a:off x="5314951" y="1190625"/>
          <a:ext cx="2266950" cy="239077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314325</xdr:colOff>
      <xdr:row>6</xdr:row>
      <xdr:rowOff>47624</xdr:rowOff>
    </xdr:from>
    <xdr:to>
      <xdr:col>15</xdr:col>
      <xdr:colOff>38101</xdr:colOff>
      <xdr:row>18</xdr:row>
      <xdr:rowOff>152399</xdr:rowOff>
    </xdr:to>
    <xdr:sp macro="" textlink="">
      <xdr:nvSpPr>
        <xdr:cNvPr id="12" name="Rectangle 11">
          <a:extLst>
            <a:ext uri="{FF2B5EF4-FFF2-40B4-BE49-F238E27FC236}">
              <a16:creationId xmlns:a16="http://schemas.microsoft.com/office/drawing/2014/main" id="{9B83717C-D6FC-47F9-8F42-E7F06EA3C888}"/>
            </a:ext>
          </a:extLst>
        </xdr:cNvPr>
        <xdr:cNvSpPr/>
      </xdr:nvSpPr>
      <xdr:spPr>
        <a:xfrm>
          <a:off x="7629525" y="1190624"/>
          <a:ext cx="1552576" cy="239077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304800</xdr:colOff>
      <xdr:row>19</xdr:row>
      <xdr:rowOff>28575</xdr:rowOff>
    </xdr:from>
    <xdr:to>
      <xdr:col>15</xdr:col>
      <xdr:colOff>104775</xdr:colOff>
      <xdr:row>30</xdr:row>
      <xdr:rowOff>71437</xdr:rowOff>
    </xdr:to>
    <xdr:sp macro="" textlink="">
      <xdr:nvSpPr>
        <xdr:cNvPr id="13" name="Rectangle 12">
          <a:extLst>
            <a:ext uri="{FF2B5EF4-FFF2-40B4-BE49-F238E27FC236}">
              <a16:creationId xmlns:a16="http://schemas.microsoft.com/office/drawing/2014/main" id="{1A3B83D5-B188-4011-AE56-54E43D596EED}"/>
            </a:ext>
          </a:extLst>
        </xdr:cNvPr>
        <xdr:cNvSpPr/>
      </xdr:nvSpPr>
      <xdr:spPr>
        <a:xfrm>
          <a:off x="7591425" y="3648075"/>
          <a:ext cx="1621631" cy="2138362"/>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569120</xdr:colOff>
      <xdr:row>19</xdr:row>
      <xdr:rowOff>39157</xdr:rowOff>
    </xdr:from>
    <xdr:to>
      <xdr:col>12</xdr:col>
      <xdr:colOff>190501</xdr:colOff>
      <xdr:row>30</xdr:row>
      <xdr:rowOff>119062</xdr:rowOff>
    </xdr:to>
    <xdr:sp macro="" textlink="">
      <xdr:nvSpPr>
        <xdr:cNvPr id="14" name="Rectangle 13">
          <a:extLst>
            <a:ext uri="{FF2B5EF4-FFF2-40B4-BE49-F238E27FC236}">
              <a16:creationId xmlns:a16="http://schemas.microsoft.com/office/drawing/2014/main" id="{5D917769-C57D-4472-8AD0-D93801761D53}"/>
            </a:ext>
          </a:extLst>
        </xdr:cNvPr>
        <xdr:cNvSpPr/>
      </xdr:nvSpPr>
      <xdr:spPr>
        <a:xfrm>
          <a:off x="1176339" y="3658657"/>
          <a:ext cx="6300787" cy="217540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180973</xdr:colOff>
      <xdr:row>4</xdr:row>
      <xdr:rowOff>47625</xdr:rowOff>
    </xdr:from>
    <xdr:to>
      <xdr:col>16</xdr:col>
      <xdr:colOff>571499</xdr:colOff>
      <xdr:row>11</xdr:row>
      <xdr:rowOff>152400</xdr:rowOff>
    </xdr:to>
    <xdr:sp macro="" textlink="">
      <xdr:nvSpPr>
        <xdr:cNvPr id="16" name="Arrow: Pentagon 15">
          <a:extLst>
            <a:ext uri="{FF2B5EF4-FFF2-40B4-BE49-F238E27FC236}">
              <a16:creationId xmlns:a16="http://schemas.microsoft.com/office/drawing/2014/main" id="{015392EC-7349-D70D-1430-C7C8747ACEB0}"/>
            </a:ext>
          </a:extLst>
        </xdr:cNvPr>
        <xdr:cNvSpPr/>
      </xdr:nvSpPr>
      <xdr:spPr>
        <a:xfrm rot="5400000">
          <a:off x="9105898" y="1028700"/>
          <a:ext cx="1438275" cy="1000126"/>
        </a:xfrm>
        <a:prstGeom prst="homePlate">
          <a:avLst/>
        </a:prstGeom>
        <a:solidFill>
          <a:schemeClr val="accent4">
            <a:lumMod val="75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152395</xdr:colOff>
      <xdr:row>3</xdr:row>
      <xdr:rowOff>152400</xdr:rowOff>
    </xdr:from>
    <xdr:to>
      <xdr:col>18</xdr:col>
      <xdr:colOff>485770</xdr:colOff>
      <xdr:row>11</xdr:row>
      <xdr:rowOff>142875</xdr:rowOff>
    </xdr:to>
    <xdr:sp macro="" textlink="">
      <xdr:nvSpPr>
        <xdr:cNvPr id="17" name="Arrow: Pentagon 16">
          <a:extLst>
            <a:ext uri="{FF2B5EF4-FFF2-40B4-BE49-F238E27FC236}">
              <a16:creationId xmlns:a16="http://schemas.microsoft.com/office/drawing/2014/main" id="{78A3F9CB-A972-4367-B582-73BCB8F025B4}"/>
            </a:ext>
          </a:extLst>
        </xdr:cNvPr>
        <xdr:cNvSpPr/>
      </xdr:nvSpPr>
      <xdr:spPr>
        <a:xfrm rot="5400000">
          <a:off x="10229845" y="1009650"/>
          <a:ext cx="1514475" cy="942975"/>
        </a:xfrm>
        <a:prstGeom prst="homePlate">
          <a:avLst/>
        </a:prstGeom>
        <a:solidFill>
          <a:schemeClr val="accent4">
            <a:lumMod val="75000"/>
          </a:schemeClr>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95251</xdr:colOff>
      <xdr:row>3</xdr:row>
      <xdr:rowOff>152400</xdr:rowOff>
    </xdr:from>
    <xdr:to>
      <xdr:col>18</xdr:col>
      <xdr:colOff>590551</xdr:colOff>
      <xdr:row>4</xdr:row>
      <xdr:rowOff>47625</xdr:rowOff>
    </xdr:to>
    <xdr:sp macro="" textlink="">
      <xdr:nvSpPr>
        <xdr:cNvPr id="18" name="Trapezoid 17">
          <a:extLst>
            <a:ext uri="{FF2B5EF4-FFF2-40B4-BE49-F238E27FC236}">
              <a16:creationId xmlns:a16="http://schemas.microsoft.com/office/drawing/2014/main" id="{42DDC979-66B9-04E9-0CB0-236857A40FB6}"/>
            </a:ext>
          </a:extLst>
        </xdr:cNvPr>
        <xdr:cNvSpPr/>
      </xdr:nvSpPr>
      <xdr:spPr>
        <a:xfrm rot="10800000" flipV="1">
          <a:off x="10458451" y="723900"/>
          <a:ext cx="1104900" cy="85725"/>
        </a:xfrm>
        <a:prstGeom prst="trapezoid">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133348</xdr:colOff>
      <xdr:row>3</xdr:row>
      <xdr:rowOff>152401</xdr:rowOff>
    </xdr:from>
    <xdr:to>
      <xdr:col>17</xdr:col>
      <xdr:colOff>19048</xdr:colOff>
      <xdr:row>4</xdr:row>
      <xdr:rowOff>57150</xdr:rowOff>
    </xdr:to>
    <xdr:sp macro="" textlink="">
      <xdr:nvSpPr>
        <xdr:cNvPr id="20" name="Trapezoid 19">
          <a:extLst>
            <a:ext uri="{FF2B5EF4-FFF2-40B4-BE49-F238E27FC236}">
              <a16:creationId xmlns:a16="http://schemas.microsoft.com/office/drawing/2014/main" id="{736255E1-1826-4FE1-8281-32D8CD05503C}"/>
            </a:ext>
          </a:extLst>
        </xdr:cNvPr>
        <xdr:cNvSpPr/>
      </xdr:nvSpPr>
      <xdr:spPr>
        <a:xfrm>
          <a:off x="9277348" y="723901"/>
          <a:ext cx="1104900" cy="95249"/>
        </a:xfrm>
        <a:prstGeom prst="trapezoid">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161924</xdr:colOff>
      <xdr:row>12</xdr:row>
      <xdr:rowOff>104774</xdr:rowOff>
    </xdr:from>
    <xdr:to>
      <xdr:col>18</xdr:col>
      <xdr:colOff>590549</xdr:colOff>
      <xdr:row>29</xdr:row>
      <xdr:rowOff>47625</xdr:rowOff>
    </xdr:to>
    <xdr:sp macro="" textlink="">
      <xdr:nvSpPr>
        <xdr:cNvPr id="22" name="Rectangle 21">
          <a:extLst>
            <a:ext uri="{FF2B5EF4-FFF2-40B4-BE49-F238E27FC236}">
              <a16:creationId xmlns:a16="http://schemas.microsoft.com/office/drawing/2014/main" id="{A5106B11-A902-440F-BEC6-8C9F22C3A350}"/>
            </a:ext>
          </a:extLst>
        </xdr:cNvPr>
        <xdr:cNvSpPr/>
      </xdr:nvSpPr>
      <xdr:spPr>
        <a:xfrm>
          <a:off x="9305924" y="2390774"/>
          <a:ext cx="2257425" cy="318135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238127</xdr:colOff>
      <xdr:row>4</xdr:row>
      <xdr:rowOff>104775</xdr:rowOff>
    </xdr:from>
    <xdr:to>
      <xdr:col>16</xdr:col>
      <xdr:colOff>495301</xdr:colOff>
      <xdr:row>11</xdr:row>
      <xdr:rowOff>9528</xdr:rowOff>
    </xdr:to>
    <xdr:sp macro="" textlink="">
      <xdr:nvSpPr>
        <xdr:cNvPr id="23" name="Arrow: Pentagon 22">
          <a:extLst>
            <a:ext uri="{FF2B5EF4-FFF2-40B4-BE49-F238E27FC236}">
              <a16:creationId xmlns:a16="http://schemas.microsoft.com/office/drawing/2014/main" id="{EE6CD9A7-9BD6-4C84-B4C7-4E2D16C08CDA}"/>
            </a:ext>
          </a:extLst>
        </xdr:cNvPr>
        <xdr:cNvSpPr/>
      </xdr:nvSpPr>
      <xdr:spPr>
        <a:xfrm rot="5400000">
          <a:off x="9196387" y="1052515"/>
          <a:ext cx="1238253" cy="866774"/>
        </a:xfrm>
        <a:prstGeom prst="homePlate">
          <a:avLst/>
        </a:prstGeom>
        <a:solidFill>
          <a:schemeClr val="accent4">
            <a:lumMod val="75000"/>
          </a:schemeClr>
        </a:solidFill>
        <a:ln>
          <a:solidFill>
            <a:schemeClr val="bg1"/>
          </a:solidFill>
          <a:prstDash val="dashDot"/>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228592</xdr:colOff>
      <xdr:row>4</xdr:row>
      <xdr:rowOff>76200</xdr:rowOff>
    </xdr:from>
    <xdr:to>
      <xdr:col>18</xdr:col>
      <xdr:colOff>428619</xdr:colOff>
      <xdr:row>10</xdr:row>
      <xdr:rowOff>180975</xdr:rowOff>
    </xdr:to>
    <xdr:sp macro="" textlink="">
      <xdr:nvSpPr>
        <xdr:cNvPr id="24" name="Arrow: Pentagon 23">
          <a:extLst>
            <a:ext uri="{FF2B5EF4-FFF2-40B4-BE49-F238E27FC236}">
              <a16:creationId xmlns:a16="http://schemas.microsoft.com/office/drawing/2014/main" id="{4A638AE7-2EDC-4D90-8438-06282829D081}"/>
            </a:ext>
          </a:extLst>
        </xdr:cNvPr>
        <xdr:cNvSpPr/>
      </xdr:nvSpPr>
      <xdr:spPr>
        <a:xfrm rot="5400000">
          <a:off x="10372718" y="1057274"/>
          <a:ext cx="1247775" cy="809627"/>
        </a:xfrm>
        <a:prstGeom prst="homePlate">
          <a:avLst/>
        </a:prstGeom>
        <a:solidFill>
          <a:schemeClr val="accent4">
            <a:lumMod val="75000"/>
          </a:schemeClr>
        </a:solidFill>
        <a:ln>
          <a:solidFill>
            <a:schemeClr val="bg1"/>
          </a:solidFill>
          <a:prstDash val="dashDot"/>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xdr:colOff>
      <xdr:row>7</xdr:row>
      <xdr:rowOff>133350</xdr:rowOff>
    </xdr:from>
    <xdr:to>
      <xdr:col>8</xdr:col>
      <xdr:colOff>276225</xdr:colOff>
      <xdr:row>7</xdr:row>
      <xdr:rowOff>152400</xdr:rowOff>
    </xdr:to>
    <xdr:cxnSp macro="">
      <xdr:nvCxnSpPr>
        <xdr:cNvPr id="28" name="Straight Connector 27">
          <a:extLst>
            <a:ext uri="{FF2B5EF4-FFF2-40B4-BE49-F238E27FC236}">
              <a16:creationId xmlns:a16="http://schemas.microsoft.com/office/drawing/2014/main" id="{EFEFAE13-B9B7-78E0-A36E-18011A3AC9B0}"/>
            </a:ext>
          </a:extLst>
        </xdr:cNvPr>
        <xdr:cNvCxnSpPr/>
      </xdr:nvCxnSpPr>
      <xdr:spPr>
        <a:xfrm flipV="1">
          <a:off x="1257300" y="1466850"/>
          <a:ext cx="3895725"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496290</xdr:colOff>
      <xdr:row>7</xdr:row>
      <xdr:rowOff>131495</xdr:rowOff>
    </xdr:from>
    <xdr:to>
      <xdr:col>12</xdr:col>
      <xdr:colOff>143865</xdr:colOff>
      <xdr:row>7</xdr:row>
      <xdr:rowOff>136072</xdr:rowOff>
    </xdr:to>
    <xdr:cxnSp macro="">
      <xdr:nvCxnSpPr>
        <xdr:cNvPr id="32" name="Straight Connector 31">
          <a:extLst>
            <a:ext uri="{FF2B5EF4-FFF2-40B4-BE49-F238E27FC236}">
              <a16:creationId xmlns:a16="http://schemas.microsoft.com/office/drawing/2014/main" id="{A5CE4B99-1C86-4C99-BC65-906B87A49C13}"/>
            </a:ext>
          </a:extLst>
        </xdr:cNvPr>
        <xdr:cNvCxnSpPr/>
      </xdr:nvCxnSpPr>
      <xdr:spPr>
        <a:xfrm flipV="1">
          <a:off x="5345381" y="1430359"/>
          <a:ext cx="2072120" cy="457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461036</xdr:colOff>
      <xdr:row>7</xdr:row>
      <xdr:rowOff>136072</xdr:rowOff>
    </xdr:from>
    <xdr:to>
      <xdr:col>14</xdr:col>
      <xdr:colOff>508660</xdr:colOff>
      <xdr:row>7</xdr:row>
      <xdr:rowOff>145597</xdr:rowOff>
    </xdr:to>
    <xdr:cxnSp macro="">
      <xdr:nvCxnSpPr>
        <xdr:cNvPr id="34" name="Straight Connector 33">
          <a:extLst>
            <a:ext uri="{FF2B5EF4-FFF2-40B4-BE49-F238E27FC236}">
              <a16:creationId xmlns:a16="http://schemas.microsoft.com/office/drawing/2014/main" id="{F7F52A9F-BE00-4BED-BF03-D999FC554A22}"/>
            </a:ext>
          </a:extLst>
        </xdr:cNvPr>
        <xdr:cNvCxnSpPr/>
      </xdr:nvCxnSpPr>
      <xdr:spPr>
        <a:xfrm flipV="1">
          <a:off x="7734672" y="1434936"/>
          <a:ext cx="1259897"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114300</xdr:colOff>
      <xdr:row>20</xdr:row>
      <xdr:rowOff>86591</xdr:rowOff>
    </xdr:from>
    <xdr:to>
      <xdr:col>11</xdr:col>
      <xdr:colOff>581396</xdr:colOff>
      <xdr:row>20</xdr:row>
      <xdr:rowOff>102920</xdr:rowOff>
    </xdr:to>
    <xdr:cxnSp macro="">
      <xdr:nvCxnSpPr>
        <xdr:cNvPr id="37" name="Straight Connector 36">
          <a:extLst>
            <a:ext uri="{FF2B5EF4-FFF2-40B4-BE49-F238E27FC236}">
              <a16:creationId xmlns:a16="http://schemas.microsoft.com/office/drawing/2014/main" id="{44593575-4FCA-4D31-A274-F3B8ADC214D8}"/>
            </a:ext>
          </a:extLst>
        </xdr:cNvPr>
        <xdr:cNvCxnSpPr/>
      </xdr:nvCxnSpPr>
      <xdr:spPr>
        <a:xfrm flipV="1">
          <a:off x="1326573" y="3797630"/>
          <a:ext cx="5922323" cy="163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358734</xdr:colOff>
      <xdr:row>20</xdr:row>
      <xdr:rowOff>97229</xdr:rowOff>
    </xdr:from>
    <xdr:to>
      <xdr:col>14</xdr:col>
      <xdr:colOff>575705</xdr:colOff>
      <xdr:row>20</xdr:row>
      <xdr:rowOff>111331</xdr:rowOff>
    </xdr:to>
    <xdr:cxnSp macro="">
      <xdr:nvCxnSpPr>
        <xdr:cNvPr id="40" name="Straight Connector 39">
          <a:extLst>
            <a:ext uri="{FF2B5EF4-FFF2-40B4-BE49-F238E27FC236}">
              <a16:creationId xmlns:a16="http://schemas.microsoft.com/office/drawing/2014/main" id="{8BBC7E2B-CB9B-46D4-85C8-A1965E826E96}"/>
            </a:ext>
          </a:extLst>
        </xdr:cNvPr>
        <xdr:cNvCxnSpPr/>
      </xdr:nvCxnSpPr>
      <xdr:spPr>
        <a:xfrm flipV="1">
          <a:off x="7632370" y="3808268"/>
          <a:ext cx="1429244" cy="1410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323850</xdr:colOff>
      <xdr:row>14</xdr:row>
      <xdr:rowOff>76200</xdr:rowOff>
    </xdr:from>
    <xdr:to>
      <xdr:col>18</xdr:col>
      <xdr:colOff>419100</xdr:colOff>
      <xdr:row>14</xdr:row>
      <xdr:rowOff>85725</xdr:rowOff>
    </xdr:to>
    <xdr:cxnSp macro="">
      <xdr:nvCxnSpPr>
        <xdr:cNvPr id="42" name="Straight Connector 41">
          <a:extLst>
            <a:ext uri="{FF2B5EF4-FFF2-40B4-BE49-F238E27FC236}">
              <a16:creationId xmlns:a16="http://schemas.microsoft.com/office/drawing/2014/main" id="{E1389D91-0492-4D62-AFD8-4BF49BC7951C}"/>
            </a:ext>
          </a:extLst>
        </xdr:cNvPr>
        <xdr:cNvCxnSpPr/>
      </xdr:nvCxnSpPr>
      <xdr:spPr>
        <a:xfrm>
          <a:off x="9467850" y="2743200"/>
          <a:ext cx="19240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9525</xdr:colOff>
      <xdr:row>4</xdr:row>
      <xdr:rowOff>0</xdr:rowOff>
    </xdr:from>
    <xdr:to>
      <xdr:col>10</xdr:col>
      <xdr:colOff>542925</xdr:colOff>
      <xdr:row>5</xdr:row>
      <xdr:rowOff>180975</xdr:rowOff>
    </xdr:to>
    <xdr:pic>
      <xdr:nvPicPr>
        <xdr:cNvPr id="45" name="Graphic 44" descr="Bar graph with downward trend with solid fill">
          <a:extLst>
            <a:ext uri="{FF2B5EF4-FFF2-40B4-BE49-F238E27FC236}">
              <a16:creationId xmlns:a16="http://schemas.microsoft.com/office/drawing/2014/main" id="{EFA34C52-96DC-01D4-1DEA-3BB4291C46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05525" y="762000"/>
          <a:ext cx="533400" cy="371475"/>
        </a:xfrm>
        <a:prstGeom prst="rect">
          <a:avLst/>
        </a:prstGeom>
      </xdr:spPr>
    </xdr:pic>
    <xdr:clientData/>
  </xdr:twoCellAnchor>
  <xdr:twoCellAnchor editAs="oneCell">
    <xdr:from>
      <xdr:col>2</xdr:col>
      <xdr:colOff>171451</xdr:colOff>
      <xdr:row>19</xdr:row>
      <xdr:rowOff>19050</xdr:rowOff>
    </xdr:from>
    <xdr:to>
      <xdr:col>3</xdr:col>
      <xdr:colOff>0</xdr:colOff>
      <xdr:row>20</xdr:row>
      <xdr:rowOff>126111</xdr:rowOff>
    </xdr:to>
    <xdr:pic>
      <xdr:nvPicPr>
        <xdr:cNvPr id="47" name="Graphic 46" descr="Daily calendar with solid fill">
          <a:extLst>
            <a:ext uri="{FF2B5EF4-FFF2-40B4-BE49-F238E27FC236}">
              <a16:creationId xmlns:a16="http://schemas.microsoft.com/office/drawing/2014/main" id="{99963A7B-8C64-5366-B747-1BF35A61455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90651" y="3638550"/>
          <a:ext cx="438149" cy="297561"/>
        </a:xfrm>
        <a:prstGeom prst="rect">
          <a:avLst/>
        </a:prstGeom>
      </xdr:spPr>
    </xdr:pic>
    <xdr:clientData/>
  </xdr:twoCellAnchor>
  <xdr:twoCellAnchor editAs="oneCell">
    <xdr:from>
      <xdr:col>5</xdr:col>
      <xdr:colOff>333375</xdr:colOff>
      <xdr:row>3</xdr:row>
      <xdr:rowOff>133350</xdr:rowOff>
    </xdr:from>
    <xdr:to>
      <xdr:col>6</xdr:col>
      <xdr:colOff>219075</xdr:colOff>
      <xdr:row>6</xdr:row>
      <xdr:rowOff>0</xdr:rowOff>
    </xdr:to>
    <xdr:pic>
      <xdr:nvPicPr>
        <xdr:cNvPr id="49" name="Graphic 48" descr="Money with solid fill">
          <a:extLst>
            <a:ext uri="{FF2B5EF4-FFF2-40B4-BE49-F238E27FC236}">
              <a16:creationId xmlns:a16="http://schemas.microsoft.com/office/drawing/2014/main" id="{22B54732-5F6C-8B26-31CF-9E84112F228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81375" y="704850"/>
          <a:ext cx="495300" cy="438150"/>
        </a:xfrm>
        <a:prstGeom prst="rect">
          <a:avLst/>
        </a:prstGeom>
      </xdr:spPr>
    </xdr:pic>
    <xdr:clientData/>
  </xdr:twoCellAnchor>
  <xdr:twoCellAnchor editAs="oneCell">
    <xdr:from>
      <xdr:col>0</xdr:col>
      <xdr:colOff>174172</xdr:colOff>
      <xdr:row>0</xdr:row>
      <xdr:rowOff>74221</xdr:rowOff>
    </xdr:from>
    <xdr:to>
      <xdr:col>1</xdr:col>
      <xdr:colOff>130011</xdr:colOff>
      <xdr:row>2</xdr:row>
      <xdr:rowOff>112321</xdr:rowOff>
    </xdr:to>
    <xdr:pic>
      <xdr:nvPicPr>
        <xdr:cNvPr id="51" name="Graphic 50" descr="Presentation with bar chart with solid fill">
          <a:extLst>
            <a:ext uri="{FF2B5EF4-FFF2-40B4-BE49-F238E27FC236}">
              <a16:creationId xmlns:a16="http://schemas.microsoft.com/office/drawing/2014/main" id="{34F9D962-9AC6-D75E-920B-F21C3BA695C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4172" y="74221"/>
          <a:ext cx="561975" cy="409204"/>
        </a:xfrm>
        <a:prstGeom prst="rect">
          <a:avLst/>
        </a:prstGeom>
      </xdr:spPr>
    </xdr:pic>
    <xdr:clientData/>
  </xdr:twoCellAnchor>
  <xdr:twoCellAnchor editAs="oneCell">
    <xdr:from>
      <xdr:col>12</xdr:col>
      <xdr:colOff>324098</xdr:colOff>
      <xdr:row>19</xdr:row>
      <xdr:rowOff>17195</xdr:rowOff>
    </xdr:from>
    <xdr:to>
      <xdr:col>13</xdr:col>
      <xdr:colOff>95498</xdr:colOff>
      <xdr:row>20</xdr:row>
      <xdr:rowOff>80695</xdr:rowOff>
    </xdr:to>
    <xdr:pic>
      <xdr:nvPicPr>
        <xdr:cNvPr id="53" name="Graphic 52" descr="Coins with solid fill">
          <a:extLst>
            <a:ext uri="{FF2B5EF4-FFF2-40B4-BE49-F238E27FC236}">
              <a16:creationId xmlns:a16="http://schemas.microsoft.com/office/drawing/2014/main" id="{930F39B3-3A94-D01D-5B1D-110A3A55C5D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97734" y="3542682"/>
          <a:ext cx="377537" cy="249052"/>
        </a:xfrm>
        <a:prstGeom prst="rect">
          <a:avLst/>
        </a:prstGeom>
      </xdr:spPr>
    </xdr:pic>
    <xdr:clientData/>
  </xdr:twoCellAnchor>
  <xdr:twoCellAnchor editAs="oneCell">
    <xdr:from>
      <xdr:col>17</xdr:col>
      <xdr:colOff>407175</xdr:colOff>
      <xdr:row>8</xdr:row>
      <xdr:rowOff>28575</xdr:rowOff>
    </xdr:from>
    <xdr:to>
      <xdr:col>18</xdr:col>
      <xdr:colOff>266700</xdr:colOff>
      <xdr:row>9</xdr:row>
      <xdr:rowOff>180975</xdr:rowOff>
    </xdr:to>
    <xdr:pic>
      <xdr:nvPicPr>
        <xdr:cNvPr id="55" name="Graphic 54" descr="Ribbon with solid fill">
          <a:extLst>
            <a:ext uri="{FF2B5EF4-FFF2-40B4-BE49-F238E27FC236}">
              <a16:creationId xmlns:a16="http://schemas.microsoft.com/office/drawing/2014/main" id="{1C6B03CF-AF02-D34B-1FB1-30CE022A750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70375" y="1552575"/>
          <a:ext cx="469125" cy="342900"/>
        </a:xfrm>
        <a:prstGeom prst="rect">
          <a:avLst/>
        </a:prstGeom>
      </xdr:spPr>
    </xdr:pic>
    <xdr:clientData/>
  </xdr:twoCellAnchor>
  <xdr:twoCellAnchor editAs="oneCell">
    <xdr:from>
      <xdr:col>15</xdr:col>
      <xdr:colOff>509550</xdr:colOff>
      <xdr:row>8</xdr:row>
      <xdr:rowOff>128550</xdr:rowOff>
    </xdr:from>
    <xdr:to>
      <xdr:col>16</xdr:col>
      <xdr:colOff>238125</xdr:colOff>
      <xdr:row>10</xdr:row>
      <xdr:rowOff>85725</xdr:rowOff>
    </xdr:to>
    <xdr:pic>
      <xdr:nvPicPr>
        <xdr:cNvPr id="57" name="Graphic 56" descr="Trophy with solid fill">
          <a:extLst>
            <a:ext uri="{FF2B5EF4-FFF2-40B4-BE49-F238E27FC236}">
              <a16:creationId xmlns:a16="http://schemas.microsoft.com/office/drawing/2014/main" id="{76B0DB3B-BF7F-D60D-1E29-E3492565AD3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653550" y="1652550"/>
          <a:ext cx="338175" cy="338175"/>
        </a:xfrm>
        <a:prstGeom prst="rect">
          <a:avLst/>
        </a:prstGeom>
      </xdr:spPr>
    </xdr:pic>
    <xdr:clientData/>
  </xdr:twoCellAnchor>
  <xdr:twoCellAnchor editAs="oneCell">
    <xdr:from>
      <xdr:col>15</xdr:col>
      <xdr:colOff>323850</xdr:colOff>
      <xdr:row>12</xdr:row>
      <xdr:rowOff>104775</xdr:rowOff>
    </xdr:from>
    <xdr:to>
      <xdr:col>16</xdr:col>
      <xdr:colOff>57150</xdr:colOff>
      <xdr:row>14</xdr:row>
      <xdr:rowOff>28575</xdr:rowOff>
    </xdr:to>
    <xdr:pic>
      <xdr:nvPicPr>
        <xdr:cNvPr id="59" name="Graphic 58" descr="Mountains with solid fill">
          <a:extLst>
            <a:ext uri="{FF2B5EF4-FFF2-40B4-BE49-F238E27FC236}">
              <a16:creationId xmlns:a16="http://schemas.microsoft.com/office/drawing/2014/main" id="{318881A1-D14F-A39C-66D6-F69BDBD0650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467850" y="2390775"/>
          <a:ext cx="342900" cy="304800"/>
        </a:xfrm>
        <a:prstGeom prst="rect">
          <a:avLst/>
        </a:prstGeom>
      </xdr:spPr>
    </xdr:pic>
    <xdr:clientData/>
  </xdr:twoCellAnchor>
  <xdr:twoCellAnchor editAs="oneCell">
    <xdr:from>
      <xdr:col>8</xdr:col>
      <xdr:colOff>434102</xdr:colOff>
      <xdr:row>6</xdr:row>
      <xdr:rowOff>40914</xdr:rowOff>
    </xdr:from>
    <xdr:to>
      <xdr:col>9</xdr:col>
      <xdr:colOff>131434</xdr:colOff>
      <xdr:row>7</xdr:row>
      <xdr:rowOff>174322</xdr:rowOff>
    </xdr:to>
    <xdr:pic>
      <xdr:nvPicPr>
        <xdr:cNvPr id="61" name="Graphic 60" descr="Arrow: Rotate left with solid fill">
          <a:extLst>
            <a:ext uri="{FF2B5EF4-FFF2-40B4-BE49-F238E27FC236}">
              <a16:creationId xmlns:a16="http://schemas.microsoft.com/office/drawing/2014/main" id="{8EFABB3F-CAC8-F2CE-0A2B-79122AF7872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rot="13684058">
          <a:off x="5275447" y="1161972"/>
          <a:ext cx="318960" cy="303468"/>
        </a:xfrm>
        <a:prstGeom prst="rect">
          <a:avLst/>
        </a:prstGeom>
      </xdr:spPr>
    </xdr:pic>
    <xdr:clientData/>
  </xdr:twoCellAnchor>
  <xdr:twoCellAnchor editAs="oneCell">
    <xdr:from>
      <xdr:col>8</xdr:col>
      <xdr:colOff>569600</xdr:colOff>
      <xdr:row>6</xdr:row>
      <xdr:rowOff>19050</xdr:rowOff>
    </xdr:from>
    <xdr:to>
      <xdr:col>9</xdr:col>
      <xdr:colOff>280925</xdr:colOff>
      <xdr:row>7</xdr:row>
      <xdr:rowOff>115314</xdr:rowOff>
    </xdr:to>
    <xdr:pic>
      <xdr:nvPicPr>
        <xdr:cNvPr id="63" name="Graphic 62" descr="Arrow: Rotate right with solid fill">
          <a:extLst>
            <a:ext uri="{FF2B5EF4-FFF2-40B4-BE49-F238E27FC236}">
              <a16:creationId xmlns:a16="http://schemas.microsoft.com/office/drawing/2014/main" id="{DD5F6F72-EE8A-5812-16B2-6F2BAD585F2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418691" y="1132362"/>
          <a:ext cx="317461" cy="281816"/>
        </a:xfrm>
        <a:prstGeom prst="rect">
          <a:avLst/>
        </a:prstGeom>
      </xdr:spPr>
    </xdr:pic>
    <xdr:clientData/>
  </xdr:twoCellAnchor>
  <xdr:twoCellAnchor editAs="oneCell">
    <xdr:from>
      <xdr:col>0</xdr:col>
      <xdr:colOff>180975</xdr:colOff>
      <xdr:row>26</xdr:row>
      <xdr:rowOff>88106</xdr:rowOff>
    </xdr:from>
    <xdr:to>
      <xdr:col>1</xdr:col>
      <xdr:colOff>352425</xdr:colOff>
      <xdr:row>28</xdr:row>
      <xdr:rowOff>135731</xdr:rowOff>
    </xdr:to>
    <xdr:pic>
      <xdr:nvPicPr>
        <xdr:cNvPr id="65" name="Graphic 64" descr="Shopping cart with solid fill">
          <a:extLst>
            <a:ext uri="{FF2B5EF4-FFF2-40B4-BE49-F238E27FC236}">
              <a16:creationId xmlns:a16="http://schemas.microsoft.com/office/drawing/2014/main" id="{496E3273-D626-D21A-542A-7DEA2B86E2C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80975" y="5041106"/>
          <a:ext cx="778669" cy="428625"/>
        </a:xfrm>
        <a:prstGeom prst="rect">
          <a:avLst/>
        </a:prstGeom>
      </xdr:spPr>
    </xdr:pic>
    <xdr:clientData/>
  </xdr:twoCellAnchor>
  <xdr:twoCellAnchor editAs="oneCell">
    <xdr:from>
      <xdr:col>12</xdr:col>
      <xdr:colOff>371475</xdr:colOff>
      <xdr:row>6</xdr:row>
      <xdr:rowOff>61850</xdr:rowOff>
    </xdr:from>
    <xdr:to>
      <xdr:col>13</xdr:col>
      <xdr:colOff>114300</xdr:colOff>
      <xdr:row>7</xdr:row>
      <xdr:rowOff>95250</xdr:rowOff>
    </xdr:to>
    <xdr:pic>
      <xdr:nvPicPr>
        <xdr:cNvPr id="67" name="Graphic 66" descr="Bank with solid fill">
          <a:extLst>
            <a:ext uri="{FF2B5EF4-FFF2-40B4-BE49-F238E27FC236}">
              <a16:creationId xmlns:a16="http://schemas.microsoft.com/office/drawing/2014/main" id="{A6E7171F-9A70-DED0-8DE1-751A2B40AC61}"/>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7645111" y="1175162"/>
          <a:ext cx="348962" cy="218952"/>
        </a:xfrm>
        <a:prstGeom prst="rect">
          <a:avLst/>
        </a:prstGeom>
      </xdr:spPr>
    </xdr:pic>
    <xdr:clientData/>
  </xdr:twoCellAnchor>
  <xdr:twoCellAnchor editAs="oneCell">
    <xdr:from>
      <xdr:col>2</xdr:col>
      <xdr:colOff>100024</xdr:colOff>
      <xdr:row>6</xdr:row>
      <xdr:rowOff>66674</xdr:rowOff>
    </xdr:from>
    <xdr:to>
      <xdr:col>2</xdr:col>
      <xdr:colOff>422811</xdr:colOff>
      <xdr:row>7</xdr:row>
      <xdr:rowOff>114299</xdr:rowOff>
    </xdr:to>
    <xdr:pic>
      <xdr:nvPicPr>
        <xdr:cNvPr id="69" name="Graphic 68" descr="Daily calendar with solid fill">
          <a:extLst>
            <a:ext uri="{FF2B5EF4-FFF2-40B4-BE49-F238E27FC236}">
              <a16:creationId xmlns:a16="http://schemas.microsoft.com/office/drawing/2014/main" id="{4D186CB0-E94A-8E15-D63A-A45DB01A28F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12297" y="1179986"/>
          <a:ext cx="322787" cy="233177"/>
        </a:xfrm>
        <a:prstGeom prst="rect">
          <a:avLst/>
        </a:prstGeom>
      </xdr:spPr>
    </xdr:pic>
    <xdr:clientData/>
  </xdr:twoCellAnchor>
  <xdr:twoCellAnchor>
    <xdr:from>
      <xdr:col>1</xdr:col>
      <xdr:colOff>212765</xdr:colOff>
      <xdr:row>0</xdr:row>
      <xdr:rowOff>88570</xdr:rowOff>
    </xdr:from>
    <xdr:to>
      <xdr:col>7</xdr:col>
      <xdr:colOff>333126</xdr:colOff>
      <xdr:row>1</xdr:row>
      <xdr:rowOff>155245</xdr:rowOff>
    </xdr:to>
    <xdr:sp macro="" textlink="">
      <xdr:nvSpPr>
        <xdr:cNvPr id="15" name="TextBox 14">
          <a:extLst>
            <a:ext uri="{FF2B5EF4-FFF2-40B4-BE49-F238E27FC236}">
              <a16:creationId xmlns:a16="http://schemas.microsoft.com/office/drawing/2014/main" id="{CEAB2EF8-2205-43E8-4394-C664492C34B7}"/>
            </a:ext>
          </a:extLst>
        </xdr:cNvPr>
        <xdr:cNvSpPr txBox="1"/>
      </xdr:nvSpPr>
      <xdr:spPr>
        <a:xfrm>
          <a:off x="818901" y="88570"/>
          <a:ext cx="3757180" cy="25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1">
              <a:solidFill>
                <a:schemeClr val="bg1"/>
              </a:solidFill>
            </a:rPr>
            <a:t>SALES</a:t>
          </a:r>
          <a:r>
            <a:rPr lang="en-IN" sz="2000" b="1" baseline="0">
              <a:solidFill>
                <a:schemeClr val="bg1"/>
              </a:solidFill>
            </a:rPr>
            <a:t>  </a:t>
          </a:r>
          <a:r>
            <a:rPr lang="en-IN" sz="2400" b="1" baseline="0">
              <a:solidFill>
                <a:schemeClr val="bg1"/>
              </a:solidFill>
            </a:rPr>
            <a:t>DASHBOARD</a:t>
          </a:r>
          <a:endParaRPr lang="en-IN" sz="2400" b="1">
            <a:solidFill>
              <a:schemeClr val="bg1"/>
            </a:solidFill>
          </a:endParaRPr>
        </a:p>
      </xdr:txBody>
    </xdr:sp>
    <xdr:clientData/>
  </xdr:twoCellAnchor>
  <xdr:twoCellAnchor>
    <xdr:from>
      <xdr:col>1</xdr:col>
      <xdr:colOff>190872</xdr:colOff>
      <xdr:row>2</xdr:row>
      <xdr:rowOff>40946</xdr:rowOff>
    </xdr:from>
    <xdr:to>
      <xdr:col>3</xdr:col>
      <xdr:colOff>444583</xdr:colOff>
      <xdr:row>2</xdr:row>
      <xdr:rowOff>164771</xdr:rowOff>
    </xdr:to>
    <xdr:sp macro="" textlink="">
      <xdr:nvSpPr>
        <xdr:cNvPr id="19" name="TextBox 18">
          <a:extLst>
            <a:ext uri="{FF2B5EF4-FFF2-40B4-BE49-F238E27FC236}">
              <a16:creationId xmlns:a16="http://schemas.microsoft.com/office/drawing/2014/main" id="{2AD27E18-AE74-4BCE-9CF7-FCBEE53D2E51}"/>
            </a:ext>
          </a:extLst>
        </xdr:cNvPr>
        <xdr:cNvSpPr txBox="1"/>
      </xdr:nvSpPr>
      <xdr:spPr>
        <a:xfrm>
          <a:off x="797008" y="412050"/>
          <a:ext cx="1465984" cy="12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50" b="1">
              <a:solidFill>
                <a:srgbClr val="FFC000"/>
              </a:solidFill>
            </a:rPr>
            <a:t>SUPERMARKET</a:t>
          </a:r>
          <a:r>
            <a:rPr lang="en-IN" sz="1050" b="1" baseline="0">
              <a:solidFill>
                <a:srgbClr val="FFC000"/>
              </a:solidFill>
            </a:rPr>
            <a:t> SHOP</a:t>
          </a:r>
          <a:endParaRPr lang="en-IN" sz="1050" b="1">
            <a:solidFill>
              <a:srgbClr val="FFC000"/>
            </a:solidFill>
          </a:endParaRPr>
        </a:p>
      </xdr:txBody>
    </xdr:sp>
    <xdr:clientData/>
  </xdr:twoCellAnchor>
  <xdr:twoCellAnchor>
    <xdr:from>
      <xdr:col>7</xdr:col>
      <xdr:colOff>1</xdr:colOff>
      <xdr:row>3</xdr:row>
      <xdr:rowOff>161925</xdr:rowOff>
    </xdr:from>
    <xdr:to>
      <xdr:col>8</xdr:col>
      <xdr:colOff>180975</xdr:colOff>
      <xdr:row>4</xdr:row>
      <xdr:rowOff>133350</xdr:rowOff>
    </xdr:to>
    <xdr:sp macro="" textlink="">
      <xdr:nvSpPr>
        <xdr:cNvPr id="21" name="TextBox 20">
          <a:extLst>
            <a:ext uri="{FF2B5EF4-FFF2-40B4-BE49-F238E27FC236}">
              <a16:creationId xmlns:a16="http://schemas.microsoft.com/office/drawing/2014/main" id="{0A79FE24-6D39-4781-9609-86A6B608EA5B}"/>
            </a:ext>
          </a:extLst>
        </xdr:cNvPr>
        <xdr:cNvSpPr txBox="1"/>
      </xdr:nvSpPr>
      <xdr:spPr>
        <a:xfrm>
          <a:off x="4267201" y="733425"/>
          <a:ext cx="790574"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b="1">
              <a:solidFill>
                <a:srgbClr val="FFC000"/>
              </a:solidFill>
            </a:rPr>
            <a:t>TOTAL PROFIT</a:t>
          </a:r>
        </a:p>
      </xdr:txBody>
    </xdr:sp>
    <xdr:clientData/>
  </xdr:twoCellAnchor>
  <xdr:twoCellAnchor>
    <xdr:from>
      <xdr:col>2</xdr:col>
      <xdr:colOff>433202</xdr:colOff>
      <xdr:row>6</xdr:row>
      <xdr:rowOff>114300</xdr:rowOff>
    </xdr:from>
    <xdr:to>
      <xdr:col>3</xdr:col>
      <xdr:colOff>509402</xdr:colOff>
      <xdr:row>7</xdr:row>
      <xdr:rowOff>57150</xdr:rowOff>
    </xdr:to>
    <xdr:sp macro="" textlink="">
      <xdr:nvSpPr>
        <xdr:cNvPr id="26" name="TextBox 25">
          <a:extLst>
            <a:ext uri="{FF2B5EF4-FFF2-40B4-BE49-F238E27FC236}">
              <a16:creationId xmlns:a16="http://schemas.microsoft.com/office/drawing/2014/main" id="{F233965B-6188-4FD1-8E79-97673758374C}"/>
            </a:ext>
          </a:extLst>
        </xdr:cNvPr>
        <xdr:cNvSpPr txBox="1"/>
      </xdr:nvSpPr>
      <xdr:spPr>
        <a:xfrm>
          <a:off x="1645475" y="1227612"/>
          <a:ext cx="682336" cy="128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solidFill>
                <a:schemeClr val="bg1"/>
              </a:solidFill>
            </a:rPr>
            <a:t>DAILY</a:t>
          </a:r>
        </a:p>
        <a:p>
          <a:endParaRPr lang="en-IN" sz="900" b="1">
            <a:solidFill>
              <a:schemeClr val="bg1"/>
            </a:solidFill>
          </a:endParaRPr>
        </a:p>
      </xdr:txBody>
    </xdr:sp>
    <xdr:clientData/>
  </xdr:twoCellAnchor>
  <xdr:twoCellAnchor>
    <xdr:from>
      <xdr:col>1</xdr:col>
      <xdr:colOff>581024</xdr:colOff>
      <xdr:row>4</xdr:row>
      <xdr:rowOff>0</xdr:rowOff>
    </xdr:from>
    <xdr:to>
      <xdr:col>3</xdr:col>
      <xdr:colOff>161925</xdr:colOff>
      <xdr:row>4</xdr:row>
      <xdr:rowOff>142875</xdr:rowOff>
    </xdr:to>
    <xdr:sp macro="" textlink="">
      <xdr:nvSpPr>
        <xdr:cNvPr id="27" name="TextBox 26">
          <a:extLst>
            <a:ext uri="{FF2B5EF4-FFF2-40B4-BE49-F238E27FC236}">
              <a16:creationId xmlns:a16="http://schemas.microsoft.com/office/drawing/2014/main" id="{D351BC69-9FFF-43B6-B910-CF73C466AABA}"/>
            </a:ext>
          </a:extLst>
        </xdr:cNvPr>
        <xdr:cNvSpPr txBox="1"/>
      </xdr:nvSpPr>
      <xdr:spPr>
        <a:xfrm>
          <a:off x="1190624" y="762000"/>
          <a:ext cx="800101"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rgbClr val="FFC000"/>
              </a:solidFill>
            </a:rPr>
            <a:t>TOTAL SALES</a:t>
          </a:r>
        </a:p>
      </xdr:txBody>
    </xdr:sp>
    <xdr:clientData/>
  </xdr:twoCellAnchor>
  <xdr:twoCellAnchor>
    <xdr:from>
      <xdr:col>13</xdr:col>
      <xdr:colOff>114300</xdr:colOff>
      <xdr:row>6</xdr:row>
      <xdr:rowOff>123701</xdr:rowOff>
    </xdr:from>
    <xdr:to>
      <xdr:col>14</xdr:col>
      <xdr:colOff>190500</xdr:colOff>
      <xdr:row>7</xdr:row>
      <xdr:rowOff>85725</xdr:rowOff>
    </xdr:to>
    <xdr:sp macro="" textlink="">
      <xdr:nvSpPr>
        <xdr:cNvPr id="29" name="TextBox 28">
          <a:extLst>
            <a:ext uri="{FF2B5EF4-FFF2-40B4-BE49-F238E27FC236}">
              <a16:creationId xmlns:a16="http://schemas.microsoft.com/office/drawing/2014/main" id="{06B39085-29C5-45D8-91E0-4C3F2A2E583E}"/>
            </a:ext>
          </a:extLst>
        </xdr:cNvPr>
        <xdr:cNvSpPr txBox="1"/>
      </xdr:nvSpPr>
      <xdr:spPr>
        <a:xfrm>
          <a:off x="7994073" y="1237013"/>
          <a:ext cx="682336" cy="147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solidFill>
                <a:schemeClr val="bg1"/>
              </a:solidFill>
            </a:rPr>
            <a:t>SALES TYPE</a:t>
          </a:r>
        </a:p>
      </xdr:txBody>
    </xdr:sp>
    <xdr:clientData/>
  </xdr:twoCellAnchor>
  <xdr:twoCellAnchor>
    <xdr:from>
      <xdr:col>16</xdr:col>
      <xdr:colOff>76199</xdr:colOff>
      <xdr:row>12</xdr:row>
      <xdr:rowOff>161925</xdr:rowOff>
    </xdr:from>
    <xdr:to>
      <xdr:col>17</xdr:col>
      <xdr:colOff>314324</xdr:colOff>
      <xdr:row>14</xdr:row>
      <xdr:rowOff>9526</xdr:rowOff>
    </xdr:to>
    <xdr:sp macro="" textlink="">
      <xdr:nvSpPr>
        <xdr:cNvPr id="30" name="TextBox 29">
          <a:extLst>
            <a:ext uri="{FF2B5EF4-FFF2-40B4-BE49-F238E27FC236}">
              <a16:creationId xmlns:a16="http://schemas.microsoft.com/office/drawing/2014/main" id="{333651B1-75BB-47CB-8947-C1CCEB470EE4}"/>
            </a:ext>
          </a:extLst>
        </xdr:cNvPr>
        <xdr:cNvSpPr txBox="1"/>
      </xdr:nvSpPr>
      <xdr:spPr>
        <a:xfrm>
          <a:off x="9829799" y="2447925"/>
          <a:ext cx="847725"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solidFill>
                <a:schemeClr val="bg1"/>
              </a:solidFill>
            </a:rPr>
            <a:t>CATEGORY</a:t>
          </a:r>
        </a:p>
      </xdr:txBody>
    </xdr:sp>
    <xdr:clientData/>
  </xdr:twoCellAnchor>
  <xdr:twoCellAnchor>
    <xdr:from>
      <xdr:col>13</xdr:col>
      <xdr:colOff>61232</xdr:colOff>
      <xdr:row>19</xdr:row>
      <xdr:rowOff>53438</xdr:rowOff>
    </xdr:from>
    <xdr:to>
      <xdr:col>14</xdr:col>
      <xdr:colOff>353044</xdr:colOff>
      <xdr:row>19</xdr:row>
      <xdr:rowOff>181841</xdr:rowOff>
    </xdr:to>
    <xdr:sp macro="" textlink="">
      <xdr:nvSpPr>
        <xdr:cNvPr id="31" name="TextBox 30">
          <a:extLst>
            <a:ext uri="{FF2B5EF4-FFF2-40B4-BE49-F238E27FC236}">
              <a16:creationId xmlns:a16="http://schemas.microsoft.com/office/drawing/2014/main" id="{256D0E6E-5D41-4979-A73D-5C2677CC3590}"/>
            </a:ext>
          </a:extLst>
        </xdr:cNvPr>
        <xdr:cNvSpPr txBox="1"/>
      </xdr:nvSpPr>
      <xdr:spPr>
        <a:xfrm>
          <a:off x="7941005" y="3578925"/>
          <a:ext cx="897948" cy="128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b="1">
              <a:solidFill>
                <a:schemeClr val="bg1"/>
              </a:solidFill>
            </a:rPr>
            <a:t>PAYMENT MODE</a:t>
          </a:r>
        </a:p>
      </xdr:txBody>
    </xdr:sp>
    <xdr:clientData/>
  </xdr:twoCellAnchor>
  <xdr:twoCellAnchor>
    <xdr:from>
      <xdr:col>15</xdr:col>
      <xdr:colOff>266696</xdr:colOff>
      <xdr:row>4</xdr:row>
      <xdr:rowOff>123825</xdr:rowOff>
    </xdr:from>
    <xdr:to>
      <xdr:col>16</xdr:col>
      <xdr:colOff>485771</xdr:colOff>
      <xdr:row>5</xdr:row>
      <xdr:rowOff>85724</xdr:rowOff>
    </xdr:to>
    <xdr:sp macro="" textlink="">
      <xdr:nvSpPr>
        <xdr:cNvPr id="33" name="TextBox 32">
          <a:extLst>
            <a:ext uri="{FF2B5EF4-FFF2-40B4-BE49-F238E27FC236}">
              <a16:creationId xmlns:a16="http://schemas.microsoft.com/office/drawing/2014/main" id="{190D3CC8-BA3F-438A-9FB8-3BF0BD0B9BE8}"/>
            </a:ext>
          </a:extLst>
        </xdr:cNvPr>
        <xdr:cNvSpPr txBox="1"/>
      </xdr:nvSpPr>
      <xdr:spPr>
        <a:xfrm rot="10800000" flipV="1">
          <a:off x="9410696" y="885825"/>
          <a:ext cx="828675"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solidFill>
                <a:srgbClr val="FFC000"/>
              </a:solidFill>
            </a:rPr>
            <a:t>Top</a:t>
          </a:r>
          <a:r>
            <a:rPr lang="en-IN" sz="900" b="1" baseline="0">
              <a:solidFill>
                <a:srgbClr val="FFC000"/>
              </a:solidFill>
            </a:rPr>
            <a:t> Product</a:t>
          </a:r>
          <a:endParaRPr lang="en-IN" sz="900" b="1">
            <a:solidFill>
              <a:srgbClr val="FFC000"/>
            </a:solidFill>
          </a:endParaRPr>
        </a:p>
      </xdr:txBody>
    </xdr:sp>
    <xdr:clientData/>
  </xdr:twoCellAnchor>
  <xdr:twoCellAnchor>
    <xdr:from>
      <xdr:col>3</xdr:col>
      <xdr:colOff>19050</xdr:colOff>
      <xdr:row>19</xdr:row>
      <xdr:rowOff>95250</xdr:rowOff>
    </xdr:from>
    <xdr:to>
      <xdr:col>4</xdr:col>
      <xdr:colOff>95250</xdr:colOff>
      <xdr:row>20</xdr:row>
      <xdr:rowOff>66675</xdr:rowOff>
    </xdr:to>
    <xdr:sp macro="" textlink="">
      <xdr:nvSpPr>
        <xdr:cNvPr id="35" name="TextBox 34">
          <a:extLst>
            <a:ext uri="{FF2B5EF4-FFF2-40B4-BE49-F238E27FC236}">
              <a16:creationId xmlns:a16="http://schemas.microsoft.com/office/drawing/2014/main" id="{CB4E8A36-9D97-48B8-906C-7B9B1F5AE542}"/>
            </a:ext>
          </a:extLst>
        </xdr:cNvPr>
        <xdr:cNvSpPr txBox="1"/>
      </xdr:nvSpPr>
      <xdr:spPr>
        <a:xfrm>
          <a:off x="1847850" y="3714750"/>
          <a:ext cx="685800"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b="1">
              <a:solidFill>
                <a:schemeClr val="bg1"/>
              </a:solidFill>
            </a:rPr>
            <a:t>MONTHLY</a:t>
          </a:r>
        </a:p>
      </xdr:txBody>
    </xdr:sp>
    <xdr:clientData/>
  </xdr:twoCellAnchor>
  <xdr:twoCellAnchor>
    <xdr:from>
      <xdr:col>9</xdr:col>
      <xdr:colOff>266700</xdr:colOff>
      <xdr:row>6</xdr:row>
      <xdr:rowOff>133350</xdr:rowOff>
    </xdr:from>
    <xdr:to>
      <xdr:col>10</xdr:col>
      <xdr:colOff>342900</xdr:colOff>
      <xdr:row>7</xdr:row>
      <xdr:rowOff>76200</xdr:rowOff>
    </xdr:to>
    <xdr:sp macro="" textlink="">
      <xdr:nvSpPr>
        <xdr:cNvPr id="36" name="TextBox 35">
          <a:extLst>
            <a:ext uri="{FF2B5EF4-FFF2-40B4-BE49-F238E27FC236}">
              <a16:creationId xmlns:a16="http://schemas.microsoft.com/office/drawing/2014/main" id="{1C6219D1-00DA-4C7C-84CB-5FCFE8A38B14}"/>
            </a:ext>
          </a:extLst>
        </xdr:cNvPr>
        <xdr:cNvSpPr txBox="1"/>
      </xdr:nvSpPr>
      <xdr:spPr>
        <a:xfrm>
          <a:off x="5753100" y="1276350"/>
          <a:ext cx="68580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solidFill>
                <a:schemeClr val="bg1"/>
              </a:solidFill>
            </a:rPr>
            <a:t>PRODUCT</a:t>
          </a:r>
        </a:p>
      </xdr:txBody>
    </xdr:sp>
    <xdr:clientData/>
  </xdr:twoCellAnchor>
  <xdr:twoCellAnchor>
    <xdr:from>
      <xdr:col>11</xdr:col>
      <xdr:colOff>190500</xdr:colOff>
      <xdr:row>3</xdr:row>
      <xdr:rowOff>161925</xdr:rowOff>
    </xdr:from>
    <xdr:to>
      <xdr:col>12</xdr:col>
      <xdr:colOff>266700</xdr:colOff>
      <xdr:row>4</xdr:row>
      <xdr:rowOff>152400</xdr:rowOff>
    </xdr:to>
    <xdr:sp macro="" textlink="">
      <xdr:nvSpPr>
        <xdr:cNvPr id="38" name="TextBox 37">
          <a:extLst>
            <a:ext uri="{FF2B5EF4-FFF2-40B4-BE49-F238E27FC236}">
              <a16:creationId xmlns:a16="http://schemas.microsoft.com/office/drawing/2014/main" id="{26075E5E-205D-46F4-9B5B-B35C7E6AFC29}"/>
            </a:ext>
          </a:extLst>
        </xdr:cNvPr>
        <xdr:cNvSpPr txBox="1"/>
      </xdr:nvSpPr>
      <xdr:spPr>
        <a:xfrm>
          <a:off x="6896100" y="733425"/>
          <a:ext cx="6858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b="1">
              <a:solidFill>
                <a:srgbClr val="FFC000"/>
              </a:solidFill>
            </a:rPr>
            <a:t>PROFIT %</a:t>
          </a:r>
        </a:p>
      </xdr:txBody>
    </xdr:sp>
    <xdr:clientData/>
  </xdr:twoCellAnchor>
  <xdr:twoCellAnchor>
    <xdr:from>
      <xdr:col>16</xdr:col>
      <xdr:colOff>133350</xdr:colOff>
      <xdr:row>6</xdr:row>
      <xdr:rowOff>133350</xdr:rowOff>
    </xdr:from>
    <xdr:to>
      <xdr:col>17</xdr:col>
      <xdr:colOff>76200</xdr:colOff>
      <xdr:row>7</xdr:row>
      <xdr:rowOff>38100</xdr:rowOff>
    </xdr:to>
    <xdr:sp macro="" textlink="'PIVOT TABLE'!AC2">
      <xdr:nvSpPr>
        <xdr:cNvPr id="41" name="TextBox 40">
          <a:extLst>
            <a:ext uri="{FF2B5EF4-FFF2-40B4-BE49-F238E27FC236}">
              <a16:creationId xmlns:a16="http://schemas.microsoft.com/office/drawing/2014/main" id="{74ABBFF4-555A-4157-9228-0A71648F8320}"/>
            </a:ext>
          </a:extLst>
        </xdr:cNvPr>
        <xdr:cNvSpPr txBox="1"/>
      </xdr:nvSpPr>
      <xdr:spPr>
        <a:xfrm>
          <a:off x="9886950" y="1276350"/>
          <a:ext cx="552450" cy="9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2EEBC16-4C45-4264-B77A-5330AA8BD382}" type="TxLink">
            <a:rPr lang="en-US" sz="1100" b="0" i="0" u="none" strike="noStrike">
              <a:solidFill>
                <a:schemeClr val="bg1"/>
              </a:solidFill>
              <a:latin typeface="Calibri"/>
              <a:cs typeface="Calibri"/>
            </a:rPr>
            <a:pPr/>
            <a:t>Ft</a:t>
          </a:fld>
          <a:endParaRPr lang="en-IN" sz="800">
            <a:solidFill>
              <a:schemeClr val="bg1"/>
            </a:solidFill>
          </a:endParaRPr>
        </a:p>
      </xdr:txBody>
    </xdr:sp>
    <xdr:clientData/>
  </xdr:twoCellAnchor>
  <xdr:twoCellAnchor>
    <xdr:from>
      <xdr:col>15</xdr:col>
      <xdr:colOff>238125</xdr:colOff>
      <xdr:row>6</xdr:row>
      <xdr:rowOff>123826</xdr:rowOff>
    </xdr:from>
    <xdr:to>
      <xdr:col>16</xdr:col>
      <xdr:colOff>9525</xdr:colOff>
      <xdr:row>7</xdr:row>
      <xdr:rowOff>104776</xdr:rowOff>
    </xdr:to>
    <xdr:sp macro="" textlink="'PIVOT TABLE'!AE2">
      <xdr:nvSpPr>
        <xdr:cNvPr id="43" name="TextBox 42">
          <a:extLst>
            <a:ext uri="{FF2B5EF4-FFF2-40B4-BE49-F238E27FC236}">
              <a16:creationId xmlns:a16="http://schemas.microsoft.com/office/drawing/2014/main" id="{6F30EEF5-55C6-4F6F-9188-746C374DDA3D}"/>
            </a:ext>
          </a:extLst>
        </xdr:cNvPr>
        <xdr:cNvSpPr txBox="1"/>
      </xdr:nvSpPr>
      <xdr:spPr>
        <a:xfrm>
          <a:off x="9382125" y="1266826"/>
          <a:ext cx="381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7E2D39D-622C-4EDB-BB66-56B6D2CF8E9E}" type="TxLink">
            <a:rPr lang="en-US" sz="800" b="0" i="0" u="none" strike="noStrike">
              <a:solidFill>
                <a:schemeClr val="bg1"/>
              </a:solidFill>
              <a:latin typeface="Calibri"/>
              <a:cs typeface="Calibri"/>
            </a:rPr>
            <a:pPr/>
            <a:t>132</a:t>
          </a:fld>
          <a:endParaRPr lang="en-IN" sz="800">
            <a:solidFill>
              <a:schemeClr val="bg1"/>
            </a:solidFill>
          </a:endParaRPr>
        </a:p>
      </xdr:txBody>
    </xdr:sp>
    <xdr:clientData/>
  </xdr:twoCellAnchor>
  <xdr:twoCellAnchor>
    <xdr:from>
      <xdr:col>15</xdr:col>
      <xdr:colOff>410634</xdr:colOff>
      <xdr:row>5</xdr:row>
      <xdr:rowOff>123826</xdr:rowOff>
    </xdr:from>
    <xdr:to>
      <xdr:col>16</xdr:col>
      <xdr:colOff>553509</xdr:colOff>
      <xdr:row>6</xdr:row>
      <xdr:rowOff>47626</xdr:rowOff>
    </xdr:to>
    <xdr:sp macro="" textlink="'PIVOT TABLE'!AB2">
      <xdr:nvSpPr>
        <xdr:cNvPr id="44" name="TextBox 43">
          <a:extLst>
            <a:ext uri="{FF2B5EF4-FFF2-40B4-BE49-F238E27FC236}">
              <a16:creationId xmlns:a16="http://schemas.microsoft.com/office/drawing/2014/main" id="{8F6EC47F-D531-4F82-A716-C37F287D15B9}"/>
            </a:ext>
          </a:extLst>
        </xdr:cNvPr>
        <xdr:cNvSpPr txBox="1"/>
      </xdr:nvSpPr>
      <xdr:spPr>
        <a:xfrm>
          <a:off x="9618134" y="1076326"/>
          <a:ext cx="756708" cy="114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E440D1C-7D71-4E96-9721-C2FE60683653}" type="TxLink">
            <a:rPr lang="en-US" sz="900" b="0" i="0" u="none" strike="noStrike">
              <a:solidFill>
                <a:schemeClr val="bg1"/>
              </a:solidFill>
              <a:latin typeface="Calibri"/>
              <a:cs typeface="Calibri"/>
            </a:rPr>
            <a:pPr/>
            <a:t>Meat</a:t>
          </a:fld>
          <a:endParaRPr lang="en-IN" sz="900">
            <a:solidFill>
              <a:schemeClr val="bg1"/>
            </a:solidFill>
          </a:endParaRPr>
        </a:p>
      </xdr:txBody>
    </xdr:sp>
    <xdr:clientData/>
  </xdr:twoCellAnchor>
  <xdr:twoCellAnchor>
    <xdr:from>
      <xdr:col>15</xdr:col>
      <xdr:colOff>419100</xdr:colOff>
      <xdr:row>7</xdr:row>
      <xdr:rowOff>152401</xdr:rowOff>
    </xdr:from>
    <xdr:to>
      <xdr:col>16</xdr:col>
      <xdr:colOff>333375</xdr:colOff>
      <xdr:row>8</xdr:row>
      <xdr:rowOff>57151</xdr:rowOff>
    </xdr:to>
    <xdr:sp macro="" textlink="'PIVOT TABLE'!AD2">
      <xdr:nvSpPr>
        <xdr:cNvPr id="46" name="TextBox 45">
          <a:extLst>
            <a:ext uri="{FF2B5EF4-FFF2-40B4-BE49-F238E27FC236}">
              <a16:creationId xmlns:a16="http://schemas.microsoft.com/office/drawing/2014/main" id="{32801E01-6DD0-4994-90B3-E677579B7226}"/>
            </a:ext>
          </a:extLst>
        </xdr:cNvPr>
        <xdr:cNvSpPr txBox="1"/>
      </xdr:nvSpPr>
      <xdr:spPr>
        <a:xfrm>
          <a:off x="9563100" y="1485901"/>
          <a:ext cx="523875" cy="9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BAFFA61-F635-4C3E-9847-010EE1409407}" type="TxLink">
            <a:rPr lang="en-US" sz="1100" b="0" i="0" u="none" strike="noStrike">
              <a:solidFill>
                <a:schemeClr val="bg1"/>
              </a:solidFill>
              <a:latin typeface="Calibri"/>
              <a:cs typeface="Calibri"/>
            </a:rPr>
            <a:pPr/>
            <a:t>22952.16</a:t>
          </a:fld>
          <a:endParaRPr lang="en-IN" sz="800">
            <a:solidFill>
              <a:schemeClr val="bg1"/>
            </a:solidFill>
          </a:endParaRPr>
        </a:p>
      </xdr:txBody>
    </xdr:sp>
    <xdr:clientData/>
  </xdr:twoCellAnchor>
  <xdr:twoCellAnchor>
    <xdr:from>
      <xdr:col>17</xdr:col>
      <xdr:colOff>266699</xdr:colOff>
      <xdr:row>4</xdr:row>
      <xdr:rowOff>85725</xdr:rowOff>
    </xdr:from>
    <xdr:to>
      <xdr:col>18</xdr:col>
      <xdr:colOff>409574</xdr:colOff>
      <xdr:row>5</xdr:row>
      <xdr:rowOff>76200</xdr:rowOff>
    </xdr:to>
    <xdr:sp macro="" textlink="">
      <xdr:nvSpPr>
        <xdr:cNvPr id="48" name="TextBox 47">
          <a:extLst>
            <a:ext uri="{FF2B5EF4-FFF2-40B4-BE49-F238E27FC236}">
              <a16:creationId xmlns:a16="http://schemas.microsoft.com/office/drawing/2014/main" id="{83050B79-447D-4A58-9C5C-52B3E869A7E9}"/>
            </a:ext>
          </a:extLst>
        </xdr:cNvPr>
        <xdr:cNvSpPr txBox="1"/>
      </xdr:nvSpPr>
      <xdr:spPr>
        <a:xfrm>
          <a:off x="10629899" y="847725"/>
          <a:ext cx="75247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b="1">
              <a:solidFill>
                <a:srgbClr val="FFC000"/>
              </a:solidFill>
            </a:rPr>
            <a:t>Top Category</a:t>
          </a:r>
        </a:p>
      </xdr:txBody>
    </xdr:sp>
    <xdr:clientData/>
  </xdr:twoCellAnchor>
  <xdr:twoCellAnchor>
    <xdr:from>
      <xdr:col>17</xdr:col>
      <xdr:colOff>323850</xdr:colOff>
      <xdr:row>6</xdr:row>
      <xdr:rowOff>114300</xdr:rowOff>
    </xdr:from>
    <xdr:to>
      <xdr:col>18</xdr:col>
      <xdr:colOff>447675</xdr:colOff>
      <xdr:row>7</xdr:row>
      <xdr:rowOff>47626</xdr:rowOff>
    </xdr:to>
    <xdr:sp macro="" textlink="'PIVOT TABLE'!AQ1">
      <xdr:nvSpPr>
        <xdr:cNvPr id="52" name="TextBox 51">
          <a:extLst>
            <a:ext uri="{FF2B5EF4-FFF2-40B4-BE49-F238E27FC236}">
              <a16:creationId xmlns:a16="http://schemas.microsoft.com/office/drawing/2014/main" id="{0AD2F240-C5A9-4903-BA07-B45E182378DD}"/>
            </a:ext>
          </a:extLst>
        </xdr:cNvPr>
        <xdr:cNvSpPr txBox="1"/>
      </xdr:nvSpPr>
      <xdr:spPr>
        <a:xfrm>
          <a:off x="10687050" y="1257300"/>
          <a:ext cx="733425" cy="123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F3D0ADF-3244-4970-8FA8-A37A57D35F0E}" type="TxLink">
            <a:rPr lang="en-US" sz="800" b="0" i="0" u="none" strike="noStrike">
              <a:solidFill>
                <a:schemeClr val="bg1"/>
              </a:solidFill>
              <a:latin typeface="Calibri"/>
              <a:cs typeface="Calibri"/>
            </a:rPr>
            <a:pPr/>
            <a:t>$95,269.40</a:t>
          </a:fld>
          <a:endParaRPr lang="en-IN" sz="800">
            <a:solidFill>
              <a:schemeClr val="bg1"/>
            </a:solidFill>
          </a:endParaRPr>
        </a:p>
      </xdr:txBody>
    </xdr:sp>
    <xdr:clientData/>
  </xdr:twoCellAnchor>
  <xdr:twoCellAnchor>
    <xdr:from>
      <xdr:col>17</xdr:col>
      <xdr:colOff>201083</xdr:colOff>
      <xdr:row>5</xdr:row>
      <xdr:rowOff>66675</xdr:rowOff>
    </xdr:from>
    <xdr:to>
      <xdr:col>18</xdr:col>
      <xdr:colOff>409575</xdr:colOff>
      <xdr:row>6</xdr:row>
      <xdr:rowOff>0</xdr:rowOff>
    </xdr:to>
    <xdr:sp macro="" textlink="'PIVOT TABLE'!AP1">
      <xdr:nvSpPr>
        <xdr:cNvPr id="54" name="TextBox 53">
          <a:extLst>
            <a:ext uri="{FF2B5EF4-FFF2-40B4-BE49-F238E27FC236}">
              <a16:creationId xmlns:a16="http://schemas.microsoft.com/office/drawing/2014/main" id="{6F191A21-5AA6-4DD9-8227-071E9CDED97E}"/>
            </a:ext>
          </a:extLst>
        </xdr:cNvPr>
        <xdr:cNvSpPr txBox="1"/>
      </xdr:nvSpPr>
      <xdr:spPr>
        <a:xfrm>
          <a:off x="10636250" y="1019175"/>
          <a:ext cx="822325" cy="12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1E34B5B-80CA-4A73-A806-B80353053591}" type="TxLink">
            <a:rPr lang="en-US" sz="1000" b="0" i="0" u="none" strike="noStrike">
              <a:solidFill>
                <a:schemeClr val="bg1"/>
              </a:solidFill>
              <a:latin typeface="Calibri"/>
              <a:cs typeface="Calibri"/>
            </a:rPr>
            <a:pPr/>
            <a:t>Category04</a:t>
          </a:fld>
          <a:endParaRPr lang="en-IN" sz="1000">
            <a:solidFill>
              <a:schemeClr val="bg1"/>
            </a:solidFill>
          </a:endParaRPr>
        </a:p>
      </xdr:txBody>
    </xdr:sp>
    <xdr:clientData/>
  </xdr:twoCellAnchor>
  <xdr:twoCellAnchor>
    <xdr:from>
      <xdr:col>7</xdr:col>
      <xdr:colOff>0</xdr:colOff>
      <xdr:row>4</xdr:row>
      <xdr:rowOff>152401</xdr:rowOff>
    </xdr:from>
    <xdr:to>
      <xdr:col>8</xdr:col>
      <xdr:colOff>66675</xdr:colOff>
      <xdr:row>5</xdr:row>
      <xdr:rowOff>133351</xdr:rowOff>
    </xdr:to>
    <xdr:sp macro="" textlink="'PIVOT TABLE'!E5">
      <xdr:nvSpPr>
        <xdr:cNvPr id="60" name="TextBox 59">
          <a:extLst>
            <a:ext uri="{FF2B5EF4-FFF2-40B4-BE49-F238E27FC236}">
              <a16:creationId xmlns:a16="http://schemas.microsoft.com/office/drawing/2014/main" id="{1434BB86-BB4C-4E23-9809-00156D370643}"/>
            </a:ext>
          </a:extLst>
        </xdr:cNvPr>
        <xdr:cNvSpPr txBox="1"/>
      </xdr:nvSpPr>
      <xdr:spPr>
        <a:xfrm>
          <a:off x="4267200" y="914401"/>
          <a:ext cx="6762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636640D-6009-4EC9-B2D4-16BD7F3FDA5E}" type="TxLink">
            <a:rPr lang="en-US" sz="1200" b="1" i="0" u="none" strike="noStrike">
              <a:solidFill>
                <a:schemeClr val="bg1"/>
              </a:solidFill>
              <a:latin typeface="Calibri"/>
              <a:cs typeface="Calibri"/>
            </a:rPr>
            <a:pPr/>
            <a:t>$332,869.00</a:t>
          </a:fld>
          <a:endParaRPr lang="en-IN" sz="1200" b="1">
            <a:solidFill>
              <a:schemeClr val="bg1"/>
            </a:solidFill>
          </a:endParaRPr>
        </a:p>
      </xdr:txBody>
    </xdr:sp>
    <xdr:clientData/>
  </xdr:twoCellAnchor>
  <xdr:twoCellAnchor>
    <xdr:from>
      <xdr:col>1</xdr:col>
      <xdr:colOff>590550</xdr:colOff>
      <xdr:row>4</xdr:row>
      <xdr:rowOff>152402</xdr:rowOff>
    </xdr:from>
    <xdr:to>
      <xdr:col>3</xdr:col>
      <xdr:colOff>190500</xdr:colOff>
      <xdr:row>5</xdr:row>
      <xdr:rowOff>104775</xdr:rowOff>
    </xdr:to>
    <xdr:sp macro="" textlink="'PIVOT TABLE'!E4">
      <xdr:nvSpPr>
        <xdr:cNvPr id="64" name="TextBox 63">
          <a:extLst>
            <a:ext uri="{FF2B5EF4-FFF2-40B4-BE49-F238E27FC236}">
              <a16:creationId xmlns:a16="http://schemas.microsoft.com/office/drawing/2014/main" id="{257AEC09-29FE-4600-8B2E-BF312E15F808}"/>
            </a:ext>
          </a:extLst>
        </xdr:cNvPr>
        <xdr:cNvSpPr txBox="1"/>
      </xdr:nvSpPr>
      <xdr:spPr>
        <a:xfrm>
          <a:off x="1200150" y="914402"/>
          <a:ext cx="819150" cy="142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FD68B9E-438B-4684-BF07-366F3CCBB3E4}" type="TxLink">
            <a:rPr lang="en-US" sz="1200" b="1" i="0" u="none" strike="noStrike">
              <a:solidFill>
                <a:schemeClr val="bg1"/>
              </a:solidFill>
              <a:latin typeface="Calibri"/>
              <a:cs typeface="Calibri"/>
            </a:rPr>
            <a:pPr/>
            <a:t>$401,882.77</a:t>
          </a:fld>
          <a:endParaRPr lang="en-IN" sz="1200" b="1">
            <a:solidFill>
              <a:schemeClr val="bg1"/>
            </a:solidFill>
          </a:endParaRPr>
        </a:p>
      </xdr:txBody>
    </xdr:sp>
    <xdr:clientData/>
  </xdr:twoCellAnchor>
  <xdr:twoCellAnchor>
    <xdr:from>
      <xdr:col>11</xdr:col>
      <xdr:colOff>190500</xdr:colOff>
      <xdr:row>4</xdr:row>
      <xdr:rowOff>123825</xdr:rowOff>
    </xdr:from>
    <xdr:to>
      <xdr:col>12</xdr:col>
      <xdr:colOff>266700</xdr:colOff>
      <xdr:row>5</xdr:row>
      <xdr:rowOff>95250</xdr:rowOff>
    </xdr:to>
    <xdr:sp macro="" textlink="'PIVOT TABLE'!E6">
      <xdr:nvSpPr>
        <xdr:cNvPr id="66" name="TextBox 65">
          <a:extLst>
            <a:ext uri="{FF2B5EF4-FFF2-40B4-BE49-F238E27FC236}">
              <a16:creationId xmlns:a16="http://schemas.microsoft.com/office/drawing/2014/main" id="{5D0C6689-2BD8-42AC-BF13-1A7DA91E8F2D}"/>
            </a:ext>
          </a:extLst>
        </xdr:cNvPr>
        <xdr:cNvSpPr txBox="1"/>
      </xdr:nvSpPr>
      <xdr:spPr>
        <a:xfrm>
          <a:off x="6896100" y="885825"/>
          <a:ext cx="685800"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356BC32-87BA-45C0-969A-B6364B5E6A01}" type="TxLink">
            <a:rPr lang="en-US" sz="1100" b="1" i="0" u="none" strike="noStrike">
              <a:solidFill>
                <a:schemeClr val="bg1"/>
              </a:solidFill>
              <a:latin typeface="Calibri"/>
              <a:cs typeface="Calibri"/>
            </a:rPr>
            <a:pPr/>
            <a:t>100%</a:t>
          </a:fld>
          <a:endParaRPr lang="en-IN" sz="800" b="1">
            <a:solidFill>
              <a:schemeClr val="bg1"/>
            </a:solidFill>
          </a:endParaRPr>
        </a:p>
      </xdr:txBody>
    </xdr:sp>
    <xdr:clientData/>
  </xdr:twoCellAnchor>
  <xdr:twoCellAnchor>
    <xdr:from>
      <xdr:col>2</xdr:col>
      <xdr:colOff>28575</xdr:colOff>
      <xdr:row>8</xdr:row>
      <xdr:rowOff>19050</xdr:rowOff>
    </xdr:from>
    <xdr:to>
      <xdr:col>8</xdr:col>
      <xdr:colOff>371476</xdr:colOff>
      <xdr:row>18</xdr:row>
      <xdr:rowOff>114300</xdr:rowOff>
    </xdr:to>
    <xdr:graphicFrame macro="">
      <xdr:nvGraphicFramePr>
        <xdr:cNvPr id="39" name="Chart 38">
          <a:extLst>
            <a:ext uri="{FF2B5EF4-FFF2-40B4-BE49-F238E27FC236}">
              <a16:creationId xmlns:a16="http://schemas.microsoft.com/office/drawing/2014/main" id="{1754E265-FEA6-4D2F-A592-4D5AD9265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8</xdr:col>
      <xdr:colOff>228597</xdr:colOff>
      <xdr:row>0</xdr:row>
      <xdr:rowOff>57151</xdr:rowOff>
    </xdr:from>
    <xdr:to>
      <xdr:col>12</xdr:col>
      <xdr:colOff>504824</xdr:colOff>
      <xdr:row>3</xdr:row>
      <xdr:rowOff>98961</xdr:rowOff>
    </xdr:to>
    <mc:AlternateContent xmlns:mc="http://schemas.openxmlformats.org/markup-compatibility/2006" xmlns:a14="http://schemas.microsoft.com/office/drawing/2010/main">
      <mc:Choice Requires="a14">
        <xdr:graphicFrame macro="">
          <xdr:nvGraphicFramePr>
            <xdr:cNvPr id="50" name="SALE TYPE 1">
              <a:extLst>
                <a:ext uri="{FF2B5EF4-FFF2-40B4-BE49-F238E27FC236}">
                  <a16:creationId xmlns:a16="http://schemas.microsoft.com/office/drawing/2014/main" id="{DA4B4FDD-A757-4ED0-BCD2-8686AD950DDF}"/>
                </a:ext>
              </a:extLst>
            </xdr:cNvPr>
            <xdr:cNvGraphicFramePr/>
          </xdr:nvGraphicFramePr>
          <xdr:xfrm>
            <a:off x="0" y="0"/>
            <a:ext cx="0" cy="0"/>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5077688" y="57151"/>
              <a:ext cx="2700772" cy="598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66673</xdr:colOff>
      <xdr:row>9</xdr:row>
      <xdr:rowOff>9525</xdr:rowOff>
    </xdr:from>
    <xdr:to>
      <xdr:col>1</xdr:col>
      <xdr:colOff>508000</xdr:colOff>
      <xdr:row>24</xdr:row>
      <xdr:rowOff>166687</xdr:rowOff>
    </xdr:to>
    <mc:AlternateContent xmlns:mc="http://schemas.openxmlformats.org/markup-compatibility/2006" xmlns:a14="http://schemas.microsoft.com/office/drawing/2010/main">
      <mc:Choice Requires="a14">
        <xdr:graphicFrame macro="">
          <xdr:nvGraphicFramePr>
            <xdr:cNvPr id="56" name="MONTH 1">
              <a:extLst>
                <a:ext uri="{FF2B5EF4-FFF2-40B4-BE49-F238E27FC236}">
                  <a16:creationId xmlns:a16="http://schemas.microsoft.com/office/drawing/2014/main" id="{9B4BF0EF-E019-4E0E-A5AF-14F575A51C0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6673" y="1679493"/>
              <a:ext cx="1101437" cy="2830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66676</xdr:colOff>
      <xdr:row>3</xdr:row>
      <xdr:rowOff>152400</xdr:rowOff>
    </xdr:from>
    <xdr:to>
      <xdr:col>1</xdr:col>
      <xdr:colOff>455084</xdr:colOff>
      <xdr:row>8</xdr:row>
      <xdr:rowOff>123825</xdr:rowOff>
    </xdr:to>
    <mc:AlternateContent xmlns:mc="http://schemas.openxmlformats.org/markup-compatibility/2006" xmlns:a14="http://schemas.microsoft.com/office/drawing/2010/main">
      <mc:Choice Requires="a14">
        <xdr:graphicFrame macro="">
          <xdr:nvGraphicFramePr>
            <xdr:cNvPr id="58" name="YEAR 1">
              <a:extLst>
                <a:ext uri="{FF2B5EF4-FFF2-40B4-BE49-F238E27FC236}">
                  <a16:creationId xmlns:a16="http://schemas.microsoft.com/office/drawing/2014/main" id="{EFEB7910-2AF3-4C12-B505-86AE8BFAACE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6676" y="709056"/>
              <a:ext cx="958560" cy="899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549604</xdr:colOff>
      <xdr:row>0</xdr:row>
      <xdr:rowOff>58139</xdr:rowOff>
    </xdr:from>
    <xdr:to>
      <xdr:col>15</xdr:col>
      <xdr:colOff>273380</xdr:colOff>
      <xdr:row>3</xdr:row>
      <xdr:rowOff>74221</xdr:rowOff>
    </xdr:to>
    <mc:AlternateContent xmlns:mc="http://schemas.openxmlformats.org/markup-compatibility/2006" xmlns:a14="http://schemas.microsoft.com/office/drawing/2010/main">
      <mc:Choice Requires="a14">
        <xdr:graphicFrame macro="">
          <xdr:nvGraphicFramePr>
            <xdr:cNvPr id="62" name="PAYMENT MODE 1">
              <a:extLst>
                <a:ext uri="{FF2B5EF4-FFF2-40B4-BE49-F238E27FC236}">
                  <a16:creationId xmlns:a16="http://schemas.microsoft.com/office/drawing/2014/main" id="{7A50CCD5-4B41-4E6D-8812-2D44F7163214}"/>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7823240" y="58139"/>
              <a:ext cx="1542185" cy="572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76199</xdr:colOff>
      <xdr:row>20</xdr:row>
      <xdr:rowOff>178595</xdr:rowOff>
    </xdr:from>
    <xdr:to>
      <xdr:col>12</xdr:col>
      <xdr:colOff>95250</xdr:colOff>
      <xdr:row>31</xdr:row>
      <xdr:rowOff>119063</xdr:rowOff>
    </xdr:to>
    <xdr:graphicFrame macro="">
      <xdr:nvGraphicFramePr>
        <xdr:cNvPr id="70" name="Chart 69">
          <a:extLst>
            <a:ext uri="{FF2B5EF4-FFF2-40B4-BE49-F238E27FC236}">
              <a16:creationId xmlns:a16="http://schemas.microsoft.com/office/drawing/2014/main" id="{DF87DDCE-398B-40A6-8948-3144D21CE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mc:AlternateContent xmlns:mc="http://schemas.openxmlformats.org/markup-compatibility/2006">
    <mc:Choice xmlns:a14="http://schemas.microsoft.com/office/drawing/2010/main" Requires="a14">
      <xdr:twoCellAnchor editAs="oneCell">
        <xdr:from>
          <xdr:col>4</xdr:col>
          <xdr:colOff>257175</xdr:colOff>
          <xdr:row>19</xdr:row>
          <xdr:rowOff>66675</xdr:rowOff>
        </xdr:from>
        <xdr:to>
          <xdr:col>4</xdr:col>
          <xdr:colOff>504825</xdr:colOff>
          <xdr:row>20</xdr:row>
          <xdr:rowOff>57150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19</xdr:row>
          <xdr:rowOff>66675</xdr:rowOff>
        </xdr:from>
        <xdr:to>
          <xdr:col>7</xdr:col>
          <xdr:colOff>600075</xdr:colOff>
          <xdr:row>20</xdr:row>
          <xdr:rowOff>47625</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523875</xdr:colOff>
          <xdr:row>19</xdr:row>
          <xdr:rowOff>57150</xdr:rowOff>
        </xdr:from>
        <xdr:to>
          <xdr:col>6</xdr:col>
          <xdr:colOff>114300</xdr:colOff>
          <xdr:row>20</xdr:row>
          <xdr:rowOff>57150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47625</xdr:colOff>
      <xdr:row>8</xdr:row>
      <xdr:rowOff>28575</xdr:rowOff>
    </xdr:from>
    <xdr:to>
      <xdr:col>12</xdr:col>
      <xdr:colOff>247650</xdr:colOff>
      <xdr:row>18</xdr:row>
      <xdr:rowOff>104775</xdr:rowOff>
    </xdr:to>
    <xdr:graphicFrame macro="">
      <xdr:nvGraphicFramePr>
        <xdr:cNvPr id="74" name="Chart 73">
          <a:extLst>
            <a:ext uri="{FF2B5EF4-FFF2-40B4-BE49-F238E27FC236}">
              <a16:creationId xmlns:a16="http://schemas.microsoft.com/office/drawing/2014/main" id="{7FBA979B-9D9F-4990-87C4-059AF6EE4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476250</xdr:colOff>
          <xdr:row>8</xdr:row>
          <xdr:rowOff>38100</xdr:rowOff>
        </xdr:from>
        <xdr:to>
          <xdr:col>9</xdr:col>
          <xdr:colOff>0</xdr:colOff>
          <xdr:row>18</xdr:row>
          <xdr:rowOff>104775</xdr:rowOff>
        </xdr:to>
        <xdr:sp macro="" textlink="">
          <xdr:nvSpPr>
            <xdr:cNvPr id="4107" name="Scroll Bar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15</xdr:col>
      <xdr:colOff>190501</xdr:colOff>
      <xdr:row>14</xdr:row>
      <xdr:rowOff>66675</xdr:rowOff>
    </xdr:from>
    <xdr:to>
      <xdr:col>18</xdr:col>
      <xdr:colOff>590551</xdr:colOff>
      <xdr:row>30</xdr:row>
      <xdr:rowOff>154780</xdr:rowOff>
    </xdr:to>
    <mc:AlternateContent xmlns:mc="http://schemas.openxmlformats.org/markup-compatibility/2006">
      <mc:Choice xmlns:cx1="http://schemas.microsoft.com/office/drawing/2015/9/8/chartex" Requires="cx1">
        <xdr:graphicFrame macro="">
          <xdr:nvGraphicFramePr>
            <xdr:cNvPr id="76" name="Chart 75">
              <a:extLst>
                <a:ext uri="{FF2B5EF4-FFF2-40B4-BE49-F238E27FC236}">
                  <a16:creationId xmlns:a16="http://schemas.microsoft.com/office/drawing/2014/main" id="{63118574-9373-431E-AA4D-F04F85E7A1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8"/>
            </a:graphicData>
          </a:graphic>
        </xdr:graphicFrame>
      </mc:Choice>
      <mc:Fallback>
        <xdr:sp macro="" textlink="">
          <xdr:nvSpPr>
            <xdr:cNvPr id="0" name=""/>
            <xdr:cNvSpPr>
              <a:spLocks noTextEdit="1"/>
            </xdr:cNvSpPr>
          </xdr:nvSpPr>
          <xdr:spPr>
            <a:xfrm>
              <a:off x="9334501" y="2733675"/>
              <a:ext cx="2228850" cy="31361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352425</xdr:colOff>
      <xdr:row>8</xdr:row>
      <xdr:rowOff>47625</xdr:rowOff>
    </xdr:from>
    <xdr:to>
      <xdr:col>15</xdr:col>
      <xdr:colOff>9524</xdr:colOff>
      <xdr:row>18</xdr:row>
      <xdr:rowOff>104775</xdr:rowOff>
    </xdr:to>
    <xdr:graphicFrame macro="">
      <xdr:nvGraphicFramePr>
        <xdr:cNvPr id="77" name="Chart 76">
          <a:extLst>
            <a:ext uri="{FF2B5EF4-FFF2-40B4-BE49-F238E27FC236}">
              <a16:creationId xmlns:a16="http://schemas.microsoft.com/office/drawing/2014/main" id="{E09B6086-88F3-4FB0-A105-191A66ECE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12</xdr:col>
      <xdr:colOff>323850</xdr:colOff>
      <xdr:row>21</xdr:row>
      <xdr:rowOff>38100</xdr:rowOff>
    </xdr:from>
    <xdr:to>
      <xdr:col>15</xdr:col>
      <xdr:colOff>95250</xdr:colOff>
      <xdr:row>29</xdr:row>
      <xdr:rowOff>119062</xdr:rowOff>
    </xdr:to>
    <xdr:graphicFrame macro="">
      <xdr:nvGraphicFramePr>
        <xdr:cNvPr id="78" name="Chart 77">
          <a:extLst>
            <a:ext uri="{FF2B5EF4-FFF2-40B4-BE49-F238E27FC236}">
              <a16:creationId xmlns:a16="http://schemas.microsoft.com/office/drawing/2014/main" id="{AF8EC193-A270-4ACB-B5F2-87D28A28F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14</xdr:col>
      <xdr:colOff>185553</xdr:colOff>
      <xdr:row>3</xdr:row>
      <xdr:rowOff>173181</xdr:rowOff>
    </xdr:from>
    <xdr:to>
      <xdr:col>15</xdr:col>
      <xdr:colOff>24741</xdr:colOff>
      <xdr:row>5</xdr:row>
      <xdr:rowOff>173181</xdr:rowOff>
    </xdr:to>
    <xdr:pic>
      <xdr:nvPicPr>
        <xdr:cNvPr id="91" name="Graphic 90" descr="Piggy Bank with solid fill">
          <a:extLst>
            <a:ext uri="{FF2B5EF4-FFF2-40B4-BE49-F238E27FC236}">
              <a16:creationId xmlns:a16="http://schemas.microsoft.com/office/drawing/2014/main" id="{0A8630FA-8FD4-69AA-B04C-8EB4A5F3CCD8}"/>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8671462" y="729837"/>
          <a:ext cx="445324" cy="371104"/>
        </a:xfrm>
        <a:prstGeom prst="rect">
          <a:avLst/>
        </a:prstGeom>
      </xdr:spPr>
    </xdr:pic>
    <xdr:clientData/>
  </xdr:twoCellAnchor>
  <xdr:twoCellAnchor editAs="oneCell">
    <xdr:from>
      <xdr:col>18</xdr:col>
      <xdr:colOff>67923</xdr:colOff>
      <xdr:row>0</xdr:row>
      <xdr:rowOff>70785</xdr:rowOff>
    </xdr:from>
    <xdr:to>
      <xdr:col>18</xdr:col>
      <xdr:colOff>538206</xdr:colOff>
      <xdr:row>3</xdr:row>
      <xdr:rowOff>43259</xdr:rowOff>
    </xdr:to>
    <xdr:pic>
      <xdr:nvPicPr>
        <xdr:cNvPr id="92" name="Picture 91">
          <a:extLst>
            <a:ext uri="{FF2B5EF4-FFF2-40B4-BE49-F238E27FC236}">
              <a16:creationId xmlns:a16="http://schemas.microsoft.com/office/drawing/2014/main" id="{7C06970F-77F3-B446-17FB-4916AB8EF842}"/>
            </a:ext>
          </a:extLst>
        </xdr:cNvPr>
        <xdr:cNvPicPr>
          <a:picLocks noChangeAspect="1"/>
        </xdr:cNvPicPr>
      </xdr:nvPicPr>
      <xdr:blipFill>
        <a:blip xmlns:r="http://schemas.openxmlformats.org/officeDocument/2006/relationships" r:embed="rId33">
          <a:lum bright="70000" contrast="-70000"/>
        </a:blip>
        <a:stretch>
          <a:fillRect/>
        </a:stretch>
      </xdr:blipFill>
      <xdr:spPr>
        <a:xfrm flipH="1">
          <a:off x="11116923" y="70785"/>
          <a:ext cx="470283" cy="543974"/>
        </a:xfrm>
        <a:prstGeom prst="rect">
          <a:avLst/>
        </a:prstGeom>
        <a:ln>
          <a:noFill/>
        </a:ln>
      </xdr:spPr>
    </xdr:pic>
    <xdr:clientData/>
  </xdr:twoCellAnchor>
  <xdr:twoCellAnchor>
    <xdr:from>
      <xdr:col>15</xdr:col>
      <xdr:colOff>259773</xdr:colOff>
      <xdr:row>0</xdr:row>
      <xdr:rowOff>148443</xdr:rowOff>
    </xdr:from>
    <xdr:to>
      <xdr:col>18</xdr:col>
      <xdr:colOff>111330</xdr:colOff>
      <xdr:row>3</xdr:row>
      <xdr:rowOff>37111</xdr:rowOff>
    </xdr:to>
    <xdr:sp macro="" textlink="'PIVOT TABLE'!E6">
      <xdr:nvSpPr>
        <xdr:cNvPr id="94" name="TextBox 93">
          <a:extLst>
            <a:ext uri="{FF2B5EF4-FFF2-40B4-BE49-F238E27FC236}">
              <a16:creationId xmlns:a16="http://schemas.microsoft.com/office/drawing/2014/main" id="{38FEE9D8-A840-4421-9FA8-431BCAEDFC0F}"/>
            </a:ext>
          </a:extLst>
        </xdr:cNvPr>
        <xdr:cNvSpPr txBox="1"/>
      </xdr:nvSpPr>
      <xdr:spPr>
        <a:xfrm>
          <a:off x="9351818" y="148443"/>
          <a:ext cx="1669967" cy="44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bg1"/>
              </a:solidFill>
            </a:rPr>
            <a:t>SUPERMARKET</a:t>
          </a:r>
        </a:p>
      </xdr:txBody>
    </xdr:sp>
    <xdr:clientData/>
  </xdr:twoCellAnchor>
  <xdr:twoCellAnchor>
    <xdr:from>
      <xdr:col>4</xdr:col>
      <xdr:colOff>423334</xdr:colOff>
      <xdr:row>19</xdr:row>
      <xdr:rowOff>95250</xdr:rowOff>
    </xdr:from>
    <xdr:to>
      <xdr:col>5</xdr:col>
      <xdr:colOff>370417</xdr:colOff>
      <xdr:row>20</xdr:row>
      <xdr:rowOff>21167</xdr:rowOff>
    </xdr:to>
    <xdr:sp macro="" textlink="">
      <xdr:nvSpPr>
        <xdr:cNvPr id="68" name="TextBox 67">
          <a:extLst>
            <a:ext uri="{FF2B5EF4-FFF2-40B4-BE49-F238E27FC236}">
              <a16:creationId xmlns:a16="http://schemas.microsoft.com/office/drawing/2014/main" id="{4C167CAD-EEE0-4A6A-824F-6011E666490E}"/>
            </a:ext>
          </a:extLst>
        </xdr:cNvPr>
        <xdr:cNvSpPr txBox="1"/>
      </xdr:nvSpPr>
      <xdr:spPr>
        <a:xfrm>
          <a:off x="2878667" y="3714750"/>
          <a:ext cx="560917" cy="116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solidFill>
                <a:schemeClr val="bg1"/>
              </a:solidFill>
            </a:rPr>
            <a:t>SALE</a:t>
          </a:r>
        </a:p>
      </xdr:txBody>
    </xdr:sp>
    <xdr:clientData/>
  </xdr:twoCellAnchor>
  <xdr:twoCellAnchor>
    <xdr:from>
      <xdr:col>6</xdr:col>
      <xdr:colOff>137584</xdr:colOff>
      <xdr:row>19</xdr:row>
      <xdr:rowOff>95250</xdr:rowOff>
    </xdr:from>
    <xdr:to>
      <xdr:col>7</xdr:col>
      <xdr:colOff>213784</xdr:colOff>
      <xdr:row>20</xdr:row>
      <xdr:rowOff>38100</xdr:rowOff>
    </xdr:to>
    <xdr:sp macro="" textlink="">
      <xdr:nvSpPr>
        <xdr:cNvPr id="72" name="TextBox 71">
          <a:extLst>
            <a:ext uri="{FF2B5EF4-FFF2-40B4-BE49-F238E27FC236}">
              <a16:creationId xmlns:a16="http://schemas.microsoft.com/office/drawing/2014/main" id="{BB666F67-7329-44C1-BA0C-1900C96744C4}"/>
            </a:ext>
          </a:extLst>
        </xdr:cNvPr>
        <xdr:cNvSpPr txBox="1"/>
      </xdr:nvSpPr>
      <xdr:spPr>
        <a:xfrm>
          <a:off x="3820584" y="3714750"/>
          <a:ext cx="690033"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solidFill>
                <a:schemeClr val="bg1"/>
              </a:solidFill>
            </a:rPr>
            <a:t>PROFIT</a:t>
          </a:r>
        </a:p>
      </xdr:txBody>
    </xdr:sp>
    <xdr:clientData/>
  </xdr:twoCellAnchor>
  <xdr:twoCellAnchor>
    <xdr:from>
      <xdr:col>7</xdr:col>
      <xdr:colOff>560917</xdr:colOff>
      <xdr:row>19</xdr:row>
      <xdr:rowOff>95250</xdr:rowOff>
    </xdr:from>
    <xdr:to>
      <xdr:col>9</xdr:col>
      <xdr:colOff>23283</xdr:colOff>
      <xdr:row>20</xdr:row>
      <xdr:rowOff>38100</xdr:rowOff>
    </xdr:to>
    <xdr:sp macro="" textlink="">
      <xdr:nvSpPr>
        <xdr:cNvPr id="73" name="TextBox 72">
          <a:extLst>
            <a:ext uri="{FF2B5EF4-FFF2-40B4-BE49-F238E27FC236}">
              <a16:creationId xmlns:a16="http://schemas.microsoft.com/office/drawing/2014/main" id="{D6CA208E-D1D0-4BBB-9BA2-D19456D3B265}"/>
            </a:ext>
          </a:extLst>
        </xdr:cNvPr>
        <xdr:cNvSpPr txBox="1"/>
      </xdr:nvSpPr>
      <xdr:spPr>
        <a:xfrm>
          <a:off x="4857750" y="3714750"/>
          <a:ext cx="690033"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solidFill>
                <a:schemeClr val="bg1"/>
              </a:solidFill>
            </a:rPr>
            <a:t>PROFIT</a:t>
          </a:r>
          <a:r>
            <a:rPr lang="en-IN" sz="900" b="1" baseline="0">
              <a:solidFill>
                <a:schemeClr val="bg1"/>
              </a:solidFill>
            </a:rPr>
            <a:t> %</a:t>
          </a:r>
          <a:endParaRPr lang="en-IN" sz="9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5960.937241435182" createdVersion="8" refreshedVersion="8" minRefreshableVersion="3" recordCount="528" xr:uid="{696B482A-51D6-420F-A5FE-1D7F4373CF50}">
  <cacheSource type="worksheet">
    <worksheetSource name="InputData"/>
  </cacheSource>
  <cacheFields count="16">
    <cacheField name="DATE" numFmtId="0">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Online"/>
        <s v="Direct Sales"/>
        <s v="Wholesaler"/>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 numFmtId="0">
      <sharedItems count="87">
        <s v="Bread"/>
        <s v="Rice"/>
        <s v="Wheat Flour"/>
        <s v="Sunflower Oil"/>
        <s v="Onion"/>
        <s v="Tomato"/>
        <s v="Palm Oil"/>
        <s v="Potato"/>
        <s v="Noodles"/>
        <s v="Cheese"/>
        <s v="Olive Oil"/>
        <s v="Green chilly"/>
        <s v="Red chilly"/>
        <s v="Brocoli"/>
        <s v="Butter"/>
        <s v="Sugar"/>
        <s v="Peanut Butter"/>
        <s v="Note Book"/>
        <s v="Bucket"/>
        <s v="Almond Oil"/>
        <s v="Soap"/>
        <s v="Washing soap"/>
        <s v="Bathing Soap"/>
        <s v="Dish washer"/>
        <s v="Mugs"/>
        <s v="Glass"/>
        <s v="Liquid soap"/>
        <s v="Soa Bean"/>
        <s v="Milk"/>
        <s v="Plates"/>
        <s v="Rice flour"/>
        <s v="Grains"/>
        <s v="water cane"/>
        <s v="bun"/>
        <s v="carrot"/>
        <s v="Beetroot"/>
        <s v="Onion Leaf"/>
        <s v="Cabbage"/>
        <s v="Apples"/>
        <s v="Meat"/>
        <s v="Chicken"/>
        <s v="Pork"/>
        <s v="Grape"/>
        <s v="Product24" u="1"/>
        <s v="Product38" u="1"/>
        <s v="Product13" u="1"/>
        <s v="Product04" u="1"/>
        <s v="Product35" u="1"/>
        <s v="Product31" u="1"/>
        <s v="Product03" u="1"/>
        <s v="Product25" u="1"/>
        <s v="Product37" u="1"/>
        <s v="Product14" u="1"/>
        <s v="Product42" u="1"/>
        <s v="Product44" u="1"/>
        <s v="Product23" u="1"/>
        <s v="Product34" u="1"/>
        <s v="Product20" u="1"/>
        <s v="Product06" u="1"/>
        <s v="Product01" u="1"/>
        <s v="Product40" u="1"/>
        <s v="Product32" u="1"/>
        <s v="Product29" u="1"/>
        <s v="Product10" u="1"/>
        <s v="Product16" u="1"/>
        <s v="Product22" u="1"/>
        <s v="Product43" u="1"/>
        <s v="Product05" u="1"/>
        <s v="Product08" u="1"/>
        <s v="Product27" u="1"/>
        <s v="Product15" u="1"/>
        <s v="Product30" u="1"/>
        <s v="Product02" u="1"/>
        <s v="Product18" u="1"/>
        <s v="Product11" u="1"/>
        <s v="Product21" u="1"/>
        <s v="Product28" u="1"/>
        <s v="Product39" u="1"/>
        <s v="Product12" u="1"/>
        <s v="Product07" u="1"/>
        <s v="Product09" u="1"/>
        <s v="Product33" u="1"/>
        <s v="Product17" u="1"/>
        <s v="Product19" u="1"/>
        <s v="Product41" u="1"/>
        <s v="Product26" u="1"/>
        <s v="Product36" u="1"/>
      </sharedItems>
    </cacheField>
    <cacheField name="CATEGORY" numFmtId="0">
      <sharedItems count="5">
        <s v="Category01"/>
        <s v="Category02"/>
        <s v="Category03"/>
        <s v="Category04"/>
        <s v="Category05"/>
      </sharedItems>
    </cacheField>
    <cacheField name="UOM" numFmtId="0">
      <sharedItems count="4">
        <s v="Kg"/>
        <s v="Lt"/>
        <s v="Ft"/>
        <s v="No."/>
      </sharedItems>
    </cacheField>
    <cacheField name="BUYING PRIZE" numFmtId="0">
      <sharedItems containsSemiMixedTypes="0" containsString="0" containsNumber="1" containsInteger="1" minValue="5" maxValue="150"/>
    </cacheField>
    <cacheField name="SELLING PRICE" numFmtId="166">
      <sharedItems containsSemiMixedTypes="0" containsString="0" containsNumber="1" minValue="6.7" maxValue="210"/>
    </cacheField>
    <cacheField name="TOTAL BUYING VALUE" numFmtId="166">
      <sharedItems containsSemiMixedTypes="0" containsString="0" containsNumber="1" containsInteger="1" minValue="5" maxValue="2250"/>
    </cacheField>
    <cacheField name="TOTAL SELLING VALUE2" numFmtId="166">
      <sharedItems containsSemiMixedTypes="0" containsString="0" containsNumber="1" minValue="6.7" maxValue="3150"/>
    </cacheField>
    <cacheField name="DAY" numFmtId="0">
      <sharedItems containsSemiMixedTypes="0" containsString="0" containsNumber="1" containsInteger="1" minValue="1" maxValue="31" count="31">
        <n v="26"/>
        <n v="9"/>
        <n v="1"/>
        <n v="31"/>
        <n v="10"/>
        <n v="11"/>
        <n v="17"/>
        <n v="22"/>
        <n v="25"/>
        <n v="30"/>
        <n v="20"/>
        <n v="5"/>
        <n v="23"/>
        <n v="6"/>
        <n v="19"/>
        <n v="2"/>
        <n v="4"/>
        <n v="13"/>
        <n v="14"/>
        <n v="21"/>
        <n v="3"/>
        <n v="16"/>
        <n v="18"/>
        <n v="7"/>
        <n v="28"/>
        <n v="8"/>
        <n v="15"/>
        <n v="27"/>
        <n v="24"/>
        <n v="12"/>
        <n v="29"/>
      </sharedItems>
    </cacheField>
    <cacheField name="MONTH" numFmtId="0">
      <sharedItems count="12">
        <s v="Jan"/>
        <s v="Mar"/>
        <s v="Jun"/>
        <s v="Aug"/>
        <s v="Sep"/>
        <s v="Oct"/>
        <s v="Feb"/>
        <s v="Jul"/>
        <s v="Apr"/>
        <s v="May"/>
        <s v="Nov"/>
        <s v="Dec"/>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046093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d v="2021-01-26T00:00:00"/>
    <s v="P0001"/>
    <n v="7"/>
    <x v="0"/>
    <x v="0"/>
    <n v="0"/>
    <x v="0"/>
    <x v="0"/>
    <x v="0"/>
    <n v="98"/>
    <n v="103.88"/>
    <n v="686"/>
    <n v="727.16"/>
    <x v="0"/>
    <x v="0"/>
    <x v="0"/>
  </r>
  <r>
    <d v="2021-03-26T00:00:00"/>
    <s v="P0001"/>
    <n v="4"/>
    <x v="1"/>
    <x v="1"/>
    <n v="0"/>
    <x v="0"/>
    <x v="0"/>
    <x v="0"/>
    <n v="98"/>
    <n v="103.88"/>
    <n v="392"/>
    <n v="415.52"/>
    <x v="0"/>
    <x v="1"/>
    <x v="0"/>
  </r>
  <r>
    <d v="2021-06-09T00:00:00"/>
    <s v="P0001"/>
    <n v="7"/>
    <x v="1"/>
    <x v="0"/>
    <n v="0"/>
    <x v="0"/>
    <x v="0"/>
    <x v="0"/>
    <n v="98"/>
    <n v="103.88"/>
    <n v="686"/>
    <n v="727.16"/>
    <x v="1"/>
    <x v="2"/>
    <x v="0"/>
  </r>
  <r>
    <d v="2021-08-01T00:00:00"/>
    <s v="P0001"/>
    <n v="11"/>
    <x v="1"/>
    <x v="1"/>
    <n v="0"/>
    <x v="0"/>
    <x v="0"/>
    <x v="0"/>
    <n v="98"/>
    <n v="103.88"/>
    <n v="1078"/>
    <n v="1142.6799999999998"/>
    <x v="2"/>
    <x v="3"/>
    <x v="0"/>
  </r>
  <r>
    <d v="2021-08-31T00:00:00"/>
    <s v="P0001"/>
    <n v="2"/>
    <x v="1"/>
    <x v="0"/>
    <n v="0"/>
    <x v="0"/>
    <x v="0"/>
    <x v="0"/>
    <n v="98"/>
    <n v="103.88"/>
    <n v="196"/>
    <n v="207.76"/>
    <x v="3"/>
    <x v="3"/>
    <x v="0"/>
  </r>
  <r>
    <d v="2021-09-10T00:00:00"/>
    <s v="P0001"/>
    <n v="9"/>
    <x v="2"/>
    <x v="0"/>
    <n v="0"/>
    <x v="0"/>
    <x v="0"/>
    <x v="0"/>
    <n v="98"/>
    <n v="103.88"/>
    <n v="882"/>
    <n v="934.92"/>
    <x v="4"/>
    <x v="4"/>
    <x v="0"/>
  </r>
  <r>
    <d v="2021-09-11T00:00:00"/>
    <s v="P0001"/>
    <n v="6"/>
    <x v="2"/>
    <x v="0"/>
    <n v="0"/>
    <x v="0"/>
    <x v="0"/>
    <x v="0"/>
    <n v="98"/>
    <n v="103.88"/>
    <n v="588"/>
    <n v="623.28"/>
    <x v="5"/>
    <x v="4"/>
    <x v="0"/>
  </r>
  <r>
    <d v="2021-10-17T00:00:00"/>
    <s v="P0001"/>
    <n v="13"/>
    <x v="1"/>
    <x v="0"/>
    <n v="0"/>
    <x v="0"/>
    <x v="0"/>
    <x v="0"/>
    <n v="98"/>
    <n v="103.88"/>
    <n v="1274"/>
    <n v="1350.44"/>
    <x v="6"/>
    <x v="5"/>
    <x v="0"/>
  </r>
  <r>
    <d v="2022-01-22T00:00:00"/>
    <s v="P0001"/>
    <n v="6"/>
    <x v="0"/>
    <x v="1"/>
    <n v="0"/>
    <x v="0"/>
    <x v="0"/>
    <x v="0"/>
    <n v="98"/>
    <n v="103.88"/>
    <n v="588"/>
    <n v="623.28"/>
    <x v="7"/>
    <x v="0"/>
    <x v="1"/>
  </r>
  <r>
    <d v="2022-03-25T00:00:00"/>
    <s v="P0001"/>
    <n v="2"/>
    <x v="2"/>
    <x v="0"/>
    <n v="0"/>
    <x v="0"/>
    <x v="0"/>
    <x v="0"/>
    <n v="98"/>
    <n v="103.88"/>
    <n v="196"/>
    <n v="207.76"/>
    <x v="8"/>
    <x v="1"/>
    <x v="1"/>
  </r>
  <r>
    <d v="2022-03-30T00:00:00"/>
    <s v="P0001"/>
    <n v="13"/>
    <x v="0"/>
    <x v="1"/>
    <n v="0"/>
    <x v="0"/>
    <x v="0"/>
    <x v="0"/>
    <n v="98"/>
    <n v="103.88"/>
    <n v="1274"/>
    <n v="1350.44"/>
    <x v="9"/>
    <x v="1"/>
    <x v="1"/>
  </r>
  <r>
    <d v="2022-06-22T00:00:00"/>
    <s v="P0001"/>
    <n v="4"/>
    <x v="1"/>
    <x v="1"/>
    <n v="0"/>
    <x v="0"/>
    <x v="0"/>
    <x v="0"/>
    <n v="98"/>
    <n v="103.88"/>
    <n v="392"/>
    <n v="415.52"/>
    <x v="7"/>
    <x v="2"/>
    <x v="1"/>
  </r>
  <r>
    <d v="2022-09-20T00:00:00"/>
    <s v="P0001"/>
    <n v="10"/>
    <x v="1"/>
    <x v="0"/>
    <n v="0"/>
    <x v="0"/>
    <x v="0"/>
    <x v="0"/>
    <n v="98"/>
    <n v="103.88"/>
    <n v="980"/>
    <n v="1038.8"/>
    <x v="10"/>
    <x v="4"/>
    <x v="1"/>
  </r>
  <r>
    <d v="2021-02-25T00:00:00"/>
    <s v="P0002"/>
    <n v="4"/>
    <x v="2"/>
    <x v="0"/>
    <n v="0"/>
    <x v="1"/>
    <x v="0"/>
    <x v="0"/>
    <n v="105"/>
    <n v="142.80000000000001"/>
    <n v="420"/>
    <n v="571.20000000000005"/>
    <x v="8"/>
    <x v="6"/>
    <x v="0"/>
  </r>
  <r>
    <d v="2021-03-22T00:00:00"/>
    <s v="P0002"/>
    <n v="8"/>
    <x v="0"/>
    <x v="0"/>
    <n v="0"/>
    <x v="1"/>
    <x v="0"/>
    <x v="0"/>
    <n v="105"/>
    <n v="142.80000000000001"/>
    <n v="840"/>
    <n v="1142.4000000000001"/>
    <x v="7"/>
    <x v="1"/>
    <x v="0"/>
  </r>
  <r>
    <d v="2021-07-05T00:00:00"/>
    <s v="P0002"/>
    <n v="8"/>
    <x v="1"/>
    <x v="0"/>
    <n v="0"/>
    <x v="1"/>
    <x v="0"/>
    <x v="0"/>
    <n v="105"/>
    <n v="142.80000000000001"/>
    <n v="840"/>
    <n v="1142.4000000000001"/>
    <x v="11"/>
    <x v="7"/>
    <x v="0"/>
  </r>
  <r>
    <d v="2021-09-22T00:00:00"/>
    <s v="P0002"/>
    <n v="4"/>
    <x v="1"/>
    <x v="1"/>
    <n v="0"/>
    <x v="1"/>
    <x v="0"/>
    <x v="0"/>
    <n v="105"/>
    <n v="142.80000000000001"/>
    <n v="420"/>
    <n v="571.20000000000005"/>
    <x v="7"/>
    <x v="4"/>
    <x v="0"/>
  </r>
  <r>
    <d v="2022-01-23T00:00:00"/>
    <s v="P0002"/>
    <n v="5"/>
    <x v="2"/>
    <x v="1"/>
    <n v="0"/>
    <x v="1"/>
    <x v="0"/>
    <x v="0"/>
    <n v="105"/>
    <n v="142.80000000000001"/>
    <n v="525"/>
    <n v="714"/>
    <x v="12"/>
    <x v="0"/>
    <x v="1"/>
  </r>
  <r>
    <d v="2022-02-06T00:00:00"/>
    <s v="P0002"/>
    <n v="6"/>
    <x v="1"/>
    <x v="1"/>
    <n v="0"/>
    <x v="1"/>
    <x v="0"/>
    <x v="0"/>
    <n v="105"/>
    <n v="142.80000000000001"/>
    <n v="630"/>
    <n v="856.80000000000007"/>
    <x v="13"/>
    <x v="6"/>
    <x v="1"/>
  </r>
  <r>
    <d v="2022-02-19T00:00:00"/>
    <s v="P0002"/>
    <n v="13"/>
    <x v="0"/>
    <x v="1"/>
    <n v="0"/>
    <x v="1"/>
    <x v="0"/>
    <x v="0"/>
    <n v="105"/>
    <n v="142.80000000000001"/>
    <n v="1365"/>
    <n v="1856.4"/>
    <x v="14"/>
    <x v="6"/>
    <x v="1"/>
  </r>
  <r>
    <d v="2022-04-01T00:00:00"/>
    <s v="P0002"/>
    <n v="2"/>
    <x v="0"/>
    <x v="1"/>
    <n v="0"/>
    <x v="1"/>
    <x v="0"/>
    <x v="0"/>
    <n v="105"/>
    <n v="142.80000000000001"/>
    <n v="210"/>
    <n v="285.60000000000002"/>
    <x v="2"/>
    <x v="8"/>
    <x v="1"/>
  </r>
  <r>
    <d v="2022-04-02T00:00:00"/>
    <s v="P0002"/>
    <n v="3"/>
    <x v="1"/>
    <x v="1"/>
    <n v="0"/>
    <x v="1"/>
    <x v="0"/>
    <x v="0"/>
    <n v="105"/>
    <n v="142.80000000000001"/>
    <n v="315"/>
    <n v="428.40000000000003"/>
    <x v="15"/>
    <x v="8"/>
    <x v="1"/>
  </r>
  <r>
    <d v="2022-04-09T00:00:00"/>
    <s v="P0002"/>
    <n v="9"/>
    <x v="0"/>
    <x v="0"/>
    <n v="0"/>
    <x v="1"/>
    <x v="0"/>
    <x v="0"/>
    <n v="105"/>
    <n v="142.80000000000001"/>
    <n v="945"/>
    <n v="1285.2"/>
    <x v="1"/>
    <x v="8"/>
    <x v="1"/>
  </r>
  <r>
    <d v="2022-05-25T00:00:00"/>
    <s v="P0002"/>
    <n v="7"/>
    <x v="0"/>
    <x v="0"/>
    <n v="0"/>
    <x v="1"/>
    <x v="0"/>
    <x v="0"/>
    <n v="105"/>
    <n v="142.80000000000001"/>
    <n v="735"/>
    <n v="999.60000000000014"/>
    <x v="8"/>
    <x v="9"/>
    <x v="1"/>
  </r>
  <r>
    <d v="2022-06-19T00:00:00"/>
    <s v="P0002"/>
    <n v="8"/>
    <x v="1"/>
    <x v="1"/>
    <n v="0"/>
    <x v="1"/>
    <x v="0"/>
    <x v="0"/>
    <n v="105"/>
    <n v="142.80000000000001"/>
    <n v="840"/>
    <n v="1142.4000000000001"/>
    <x v="14"/>
    <x v="2"/>
    <x v="1"/>
  </r>
  <r>
    <d v="2022-09-04T00:00:00"/>
    <s v="P0002"/>
    <n v="1"/>
    <x v="1"/>
    <x v="1"/>
    <n v="0"/>
    <x v="1"/>
    <x v="0"/>
    <x v="0"/>
    <n v="105"/>
    <n v="142.80000000000001"/>
    <n v="105"/>
    <n v="142.80000000000001"/>
    <x v="16"/>
    <x v="4"/>
    <x v="1"/>
  </r>
  <r>
    <d v="2022-10-13T00:00:00"/>
    <s v="P0002"/>
    <n v="15"/>
    <x v="0"/>
    <x v="0"/>
    <n v="0"/>
    <x v="1"/>
    <x v="0"/>
    <x v="0"/>
    <n v="105"/>
    <n v="142.80000000000001"/>
    <n v="1575"/>
    <n v="2142"/>
    <x v="17"/>
    <x v="5"/>
    <x v="1"/>
  </r>
  <r>
    <d v="2022-11-14T00:00:00"/>
    <s v="P0002"/>
    <n v="1"/>
    <x v="1"/>
    <x v="1"/>
    <n v="0"/>
    <x v="1"/>
    <x v="0"/>
    <x v="0"/>
    <n v="105"/>
    <n v="142.80000000000001"/>
    <n v="105"/>
    <n v="142.80000000000001"/>
    <x v="18"/>
    <x v="10"/>
    <x v="1"/>
  </r>
  <r>
    <d v="2021-01-09T00:00:00"/>
    <s v="P0003"/>
    <n v="8"/>
    <x v="1"/>
    <x v="1"/>
    <n v="0"/>
    <x v="2"/>
    <x v="0"/>
    <x v="0"/>
    <n v="71"/>
    <n v="80.94"/>
    <n v="568"/>
    <n v="647.52"/>
    <x v="1"/>
    <x v="0"/>
    <x v="0"/>
  </r>
  <r>
    <d v="2021-01-21T00:00:00"/>
    <s v="P0003"/>
    <n v="9"/>
    <x v="1"/>
    <x v="0"/>
    <n v="0"/>
    <x v="2"/>
    <x v="0"/>
    <x v="0"/>
    <n v="71"/>
    <n v="80.94"/>
    <n v="639"/>
    <n v="728.46"/>
    <x v="19"/>
    <x v="0"/>
    <x v="0"/>
  </r>
  <r>
    <d v="2021-07-03T00:00:00"/>
    <s v="P0003"/>
    <n v="8"/>
    <x v="0"/>
    <x v="1"/>
    <n v="0"/>
    <x v="2"/>
    <x v="0"/>
    <x v="0"/>
    <n v="71"/>
    <n v="80.94"/>
    <n v="568"/>
    <n v="647.52"/>
    <x v="20"/>
    <x v="7"/>
    <x v="0"/>
  </r>
  <r>
    <d v="2021-08-16T00:00:00"/>
    <s v="P0003"/>
    <n v="3"/>
    <x v="0"/>
    <x v="0"/>
    <n v="0"/>
    <x v="2"/>
    <x v="0"/>
    <x v="0"/>
    <n v="71"/>
    <n v="80.94"/>
    <n v="213"/>
    <n v="242.82"/>
    <x v="21"/>
    <x v="3"/>
    <x v="0"/>
  </r>
  <r>
    <d v="2021-09-01T00:00:00"/>
    <s v="P0003"/>
    <n v="14"/>
    <x v="0"/>
    <x v="0"/>
    <n v="0"/>
    <x v="2"/>
    <x v="0"/>
    <x v="0"/>
    <n v="71"/>
    <n v="80.94"/>
    <n v="994"/>
    <n v="1133.1599999999999"/>
    <x v="2"/>
    <x v="4"/>
    <x v="0"/>
  </r>
  <r>
    <d v="2021-12-18T00:00:00"/>
    <s v="P0003"/>
    <n v="2"/>
    <x v="1"/>
    <x v="1"/>
    <n v="0"/>
    <x v="2"/>
    <x v="0"/>
    <x v="0"/>
    <n v="71"/>
    <n v="80.94"/>
    <n v="142"/>
    <n v="161.88"/>
    <x v="22"/>
    <x v="11"/>
    <x v="0"/>
  </r>
  <r>
    <d v="2022-03-07T00:00:00"/>
    <s v="P0003"/>
    <n v="1"/>
    <x v="1"/>
    <x v="1"/>
    <n v="0"/>
    <x v="2"/>
    <x v="0"/>
    <x v="0"/>
    <n v="71"/>
    <n v="80.94"/>
    <n v="71"/>
    <n v="80.94"/>
    <x v="23"/>
    <x v="1"/>
    <x v="1"/>
  </r>
  <r>
    <d v="2022-04-25T00:00:00"/>
    <s v="P0003"/>
    <n v="8"/>
    <x v="0"/>
    <x v="0"/>
    <n v="0"/>
    <x v="2"/>
    <x v="0"/>
    <x v="0"/>
    <n v="71"/>
    <n v="80.94"/>
    <n v="568"/>
    <n v="647.52"/>
    <x v="8"/>
    <x v="8"/>
    <x v="1"/>
  </r>
  <r>
    <d v="2022-07-25T00:00:00"/>
    <s v="P0003"/>
    <n v="13"/>
    <x v="0"/>
    <x v="1"/>
    <n v="0"/>
    <x v="2"/>
    <x v="0"/>
    <x v="0"/>
    <n v="71"/>
    <n v="80.94"/>
    <n v="923"/>
    <n v="1052.22"/>
    <x v="8"/>
    <x v="7"/>
    <x v="1"/>
  </r>
  <r>
    <d v="2022-07-26T00:00:00"/>
    <s v="P0003"/>
    <n v="10"/>
    <x v="0"/>
    <x v="0"/>
    <n v="0"/>
    <x v="2"/>
    <x v="0"/>
    <x v="0"/>
    <n v="71"/>
    <n v="80.94"/>
    <n v="710"/>
    <n v="809.4"/>
    <x v="0"/>
    <x v="7"/>
    <x v="1"/>
  </r>
  <r>
    <d v="2022-09-09T00:00:00"/>
    <s v="P0003"/>
    <n v="3"/>
    <x v="1"/>
    <x v="0"/>
    <n v="0"/>
    <x v="2"/>
    <x v="0"/>
    <x v="0"/>
    <n v="71"/>
    <n v="80.94"/>
    <n v="213"/>
    <n v="242.82"/>
    <x v="1"/>
    <x v="4"/>
    <x v="1"/>
  </r>
  <r>
    <d v="2021-01-03T00:00:00"/>
    <s v="P0004"/>
    <n v="5"/>
    <x v="1"/>
    <x v="0"/>
    <n v="0"/>
    <x v="3"/>
    <x v="0"/>
    <x v="1"/>
    <n v="44"/>
    <n v="48.84"/>
    <n v="220"/>
    <n v="244.20000000000002"/>
    <x v="20"/>
    <x v="0"/>
    <x v="0"/>
  </r>
  <r>
    <d v="2021-01-21T00:00:00"/>
    <s v="P0004"/>
    <n v="15"/>
    <x v="2"/>
    <x v="1"/>
    <n v="0"/>
    <x v="3"/>
    <x v="0"/>
    <x v="1"/>
    <n v="44"/>
    <n v="48.84"/>
    <n v="660"/>
    <n v="732.6"/>
    <x v="19"/>
    <x v="0"/>
    <x v="0"/>
  </r>
  <r>
    <d v="2021-01-28T00:00:00"/>
    <s v="P0004"/>
    <n v="10"/>
    <x v="0"/>
    <x v="1"/>
    <n v="0"/>
    <x v="3"/>
    <x v="0"/>
    <x v="1"/>
    <n v="44"/>
    <n v="48.84"/>
    <n v="440"/>
    <n v="488.40000000000003"/>
    <x v="24"/>
    <x v="0"/>
    <x v="0"/>
  </r>
  <r>
    <d v="2021-06-08T00:00:00"/>
    <s v="P0004"/>
    <n v="11"/>
    <x v="2"/>
    <x v="1"/>
    <n v="0"/>
    <x v="3"/>
    <x v="0"/>
    <x v="1"/>
    <n v="44"/>
    <n v="48.84"/>
    <n v="484"/>
    <n v="537.24"/>
    <x v="25"/>
    <x v="2"/>
    <x v="0"/>
  </r>
  <r>
    <d v="2021-07-08T00:00:00"/>
    <s v="P0004"/>
    <n v="10"/>
    <x v="1"/>
    <x v="0"/>
    <n v="0"/>
    <x v="3"/>
    <x v="0"/>
    <x v="1"/>
    <n v="44"/>
    <n v="48.84"/>
    <n v="440"/>
    <n v="488.40000000000003"/>
    <x v="25"/>
    <x v="7"/>
    <x v="0"/>
  </r>
  <r>
    <d v="2021-10-26T00:00:00"/>
    <s v="P0004"/>
    <n v="6"/>
    <x v="2"/>
    <x v="1"/>
    <n v="0"/>
    <x v="3"/>
    <x v="0"/>
    <x v="1"/>
    <n v="44"/>
    <n v="48.84"/>
    <n v="264"/>
    <n v="293.04000000000002"/>
    <x v="0"/>
    <x v="5"/>
    <x v="0"/>
  </r>
  <r>
    <d v="2021-12-05T00:00:00"/>
    <s v="P0004"/>
    <n v="15"/>
    <x v="1"/>
    <x v="1"/>
    <n v="0"/>
    <x v="3"/>
    <x v="0"/>
    <x v="1"/>
    <n v="44"/>
    <n v="48.84"/>
    <n v="660"/>
    <n v="732.6"/>
    <x v="11"/>
    <x v="11"/>
    <x v="0"/>
  </r>
  <r>
    <d v="2022-02-08T00:00:00"/>
    <s v="P0004"/>
    <n v="3"/>
    <x v="0"/>
    <x v="1"/>
    <n v="0"/>
    <x v="3"/>
    <x v="0"/>
    <x v="1"/>
    <n v="44"/>
    <n v="48.84"/>
    <n v="132"/>
    <n v="146.52000000000001"/>
    <x v="25"/>
    <x v="6"/>
    <x v="1"/>
  </r>
  <r>
    <d v="2022-03-06T00:00:00"/>
    <s v="P0004"/>
    <n v="2"/>
    <x v="1"/>
    <x v="1"/>
    <n v="0"/>
    <x v="3"/>
    <x v="0"/>
    <x v="1"/>
    <n v="44"/>
    <n v="48.84"/>
    <n v="88"/>
    <n v="97.68"/>
    <x v="13"/>
    <x v="1"/>
    <x v="1"/>
  </r>
  <r>
    <d v="2022-03-09T00:00:00"/>
    <s v="P0004"/>
    <n v="11"/>
    <x v="0"/>
    <x v="1"/>
    <n v="0"/>
    <x v="3"/>
    <x v="0"/>
    <x v="1"/>
    <n v="44"/>
    <n v="48.84"/>
    <n v="484"/>
    <n v="537.24"/>
    <x v="1"/>
    <x v="1"/>
    <x v="1"/>
  </r>
  <r>
    <d v="2022-04-25T00:00:00"/>
    <s v="P0004"/>
    <n v="9"/>
    <x v="1"/>
    <x v="1"/>
    <n v="0"/>
    <x v="3"/>
    <x v="0"/>
    <x v="1"/>
    <n v="44"/>
    <n v="48.84"/>
    <n v="396"/>
    <n v="439.56000000000006"/>
    <x v="8"/>
    <x v="8"/>
    <x v="1"/>
  </r>
  <r>
    <d v="2022-05-28T00:00:00"/>
    <s v="P0004"/>
    <n v="12"/>
    <x v="0"/>
    <x v="0"/>
    <n v="0"/>
    <x v="3"/>
    <x v="0"/>
    <x v="1"/>
    <n v="44"/>
    <n v="48.84"/>
    <n v="528"/>
    <n v="586.08000000000004"/>
    <x v="24"/>
    <x v="9"/>
    <x v="1"/>
  </r>
  <r>
    <d v="2022-06-23T00:00:00"/>
    <s v="P0004"/>
    <n v="8"/>
    <x v="1"/>
    <x v="0"/>
    <n v="0"/>
    <x v="3"/>
    <x v="0"/>
    <x v="1"/>
    <n v="44"/>
    <n v="48.84"/>
    <n v="352"/>
    <n v="390.72"/>
    <x v="12"/>
    <x v="2"/>
    <x v="1"/>
  </r>
  <r>
    <d v="2022-07-15T00:00:00"/>
    <s v="P0004"/>
    <n v="2"/>
    <x v="0"/>
    <x v="0"/>
    <n v="0"/>
    <x v="3"/>
    <x v="0"/>
    <x v="1"/>
    <n v="44"/>
    <n v="48.84"/>
    <n v="88"/>
    <n v="97.68"/>
    <x v="26"/>
    <x v="7"/>
    <x v="1"/>
  </r>
  <r>
    <d v="2022-11-25T00:00:00"/>
    <s v="P0004"/>
    <n v="5"/>
    <x v="1"/>
    <x v="1"/>
    <n v="0"/>
    <x v="3"/>
    <x v="0"/>
    <x v="1"/>
    <n v="44"/>
    <n v="48.84"/>
    <n v="220"/>
    <n v="244.20000000000002"/>
    <x v="8"/>
    <x v="10"/>
    <x v="1"/>
  </r>
  <r>
    <d v="2021-02-05T00:00:00"/>
    <s v="P0005"/>
    <n v="1"/>
    <x v="1"/>
    <x v="1"/>
    <n v="0"/>
    <x v="4"/>
    <x v="0"/>
    <x v="2"/>
    <n v="133"/>
    <n v="155.61000000000001"/>
    <n v="133"/>
    <n v="155.61000000000001"/>
    <x v="11"/>
    <x v="6"/>
    <x v="0"/>
  </r>
  <r>
    <d v="2021-02-23T00:00:00"/>
    <s v="P0005"/>
    <n v="2"/>
    <x v="1"/>
    <x v="0"/>
    <n v="0"/>
    <x v="4"/>
    <x v="0"/>
    <x v="2"/>
    <n v="133"/>
    <n v="155.61000000000001"/>
    <n v="266"/>
    <n v="311.22000000000003"/>
    <x v="12"/>
    <x v="6"/>
    <x v="0"/>
  </r>
  <r>
    <d v="2021-04-09T00:00:00"/>
    <s v="P0005"/>
    <n v="3"/>
    <x v="0"/>
    <x v="0"/>
    <n v="0"/>
    <x v="4"/>
    <x v="0"/>
    <x v="2"/>
    <n v="133"/>
    <n v="155.61000000000001"/>
    <n v="399"/>
    <n v="466.83000000000004"/>
    <x v="1"/>
    <x v="8"/>
    <x v="0"/>
  </r>
  <r>
    <d v="2021-06-27T00:00:00"/>
    <s v="P0005"/>
    <n v="11"/>
    <x v="1"/>
    <x v="1"/>
    <n v="0"/>
    <x v="4"/>
    <x v="0"/>
    <x v="2"/>
    <n v="133"/>
    <n v="155.61000000000001"/>
    <n v="1463"/>
    <n v="1711.71"/>
    <x v="27"/>
    <x v="2"/>
    <x v="0"/>
  </r>
  <r>
    <d v="2021-07-01T00:00:00"/>
    <s v="P0005"/>
    <n v="11"/>
    <x v="1"/>
    <x v="1"/>
    <n v="0"/>
    <x v="4"/>
    <x v="0"/>
    <x v="2"/>
    <n v="133"/>
    <n v="155.61000000000001"/>
    <n v="1463"/>
    <n v="1711.71"/>
    <x v="2"/>
    <x v="7"/>
    <x v="0"/>
  </r>
  <r>
    <d v="2021-08-10T00:00:00"/>
    <s v="P0005"/>
    <n v="4"/>
    <x v="2"/>
    <x v="1"/>
    <n v="0"/>
    <x v="4"/>
    <x v="0"/>
    <x v="2"/>
    <n v="133"/>
    <n v="155.61000000000001"/>
    <n v="532"/>
    <n v="622.44000000000005"/>
    <x v="4"/>
    <x v="3"/>
    <x v="0"/>
  </r>
  <r>
    <d v="2022-02-01T00:00:00"/>
    <s v="P0005"/>
    <n v="9"/>
    <x v="1"/>
    <x v="1"/>
    <n v="0"/>
    <x v="4"/>
    <x v="0"/>
    <x v="2"/>
    <n v="133"/>
    <n v="155.61000000000001"/>
    <n v="1197"/>
    <n v="1400.4900000000002"/>
    <x v="2"/>
    <x v="6"/>
    <x v="1"/>
  </r>
  <r>
    <d v="2022-02-08T00:00:00"/>
    <s v="P0005"/>
    <n v="11"/>
    <x v="0"/>
    <x v="1"/>
    <n v="0"/>
    <x v="4"/>
    <x v="0"/>
    <x v="2"/>
    <n v="133"/>
    <n v="155.61000000000001"/>
    <n v="1463"/>
    <n v="1711.71"/>
    <x v="25"/>
    <x v="6"/>
    <x v="1"/>
  </r>
  <r>
    <d v="2022-02-27T00:00:00"/>
    <s v="P0005"/>
    <n v="15"/>
    <x v="1"/>
    <x v="0"/>
    <n v="0"/>
    <x v="4"/>
    <x v="0"/>
    <x v="2"/>
    <n v="133"/>
    <n v="155.61000000000001"/>
    <n v="1995"/>
    <n v="2334.15"/>
    <x v="27"/>
    <x v="6"/>
    <x v="1"/>
  </r>
  <r>
    <d v="2022-05-30T00:00:00"/>
    <s v="P0005"/>
    <n v="4"/>
    <x v="2"/>
    <x v="1"/>
    <n v="0"/>
    <x v="4"/>
    <x v="0"/>
    <x v="2"/>
    <n v="133"/>
    <n v="155.61000000000001"/>
    <n v="532"/>
    <n v="622.44000000000005"/>
    <x v="9"/>
    <x v="9"/>
    <x v="1"/>
  </r>
  <r>
    <d v="2022-08-24T00:00:00"/>
    <s v="P0005"/>
    <n v="5"/>
    <x v="1"/>
    <x v="1"/>
    <n v="0"/>
    <x v="4"/>
    <x v="0"/>
    <x v="2"/>
    <n v="133"/>
    <n v="155.61000000000001"/>
    <n v="665"/>
    <n v="778.05000000000007"/>
    <x v="28"/>
    <x v="3"/>
    <x v="1"/>
  </r>
  <r>
    <d v="2022-08-28T00:00:00"/>
    <s v="P0005"/>
    <n v="9"/>
    <x v="0"/>
    <x v="0"/>
    <n v="0"/>
    <x v="4"/>
    <x v="0"/>
    <x v="2"/>
    <n v="133"/>
    <n v="155.61000000000001"/>
    <n v="1197"/>
    <n v="1400.4900000000002"/>
    <x v="24"/>
    <x v="3"/>
    <x v="1"/>
  </r>
  <r>
    <d v="2022-09-06T00:00:00"/>
    <s v="P0005"/>
    <n v="12"/>
    <x v="2"/>
    <x v="0"/>
    <n v="0"/>
    <x v="4"/>
    <x v="0"/>
    <x v="2"/>
    <n v="133"/>
    <n v="155.61000000000001"/>
    <n v="1596"/>
    <n v="1867.3200000000002"/>
    <x v="13"/>
    <x v="4"/>
    <x v="1"/>
  </r>
  <r>
    <d v="2022-12-14T00:00:00"/>
    <s v="P0005"/>
    <n v="4"/>
    <x v="1"/>
    <x v="1"/>
    <n v="0"/>
    <x v="4"/>
    <x v="0"/>
    <x v="2"/>
    <n v="133"/>
    <n v="155.61000000000001"/>
    <n v="532"/>
    <n v="622.44000000000005"/>
    <x v="18"/>
    <x v="11"/>
    <x v="1"/>
  </r>
  <r>
    <d v="2021-01-26T00:00:00"/>
    <s v="P0006"/>
    <n v="7"/>
    <x v="0"/>
    <x v="1"/>
    <n v="0"/>
    <x v="5"/>
    <x v="0"/>
    <x v="0"/>
    <n v="75"/>
    <n v="85.5"/>
    <n v="525"/>
    <n v="598.5"/>
    <x v="0"/>
    <x v="0"/>
    <x v="0"/>
  </r>
  <r>
    <d v="2021-03-25T00:00:00"/>
    <s v="P0006"/>
    <n v="4"/>
    <x v="1"/>
    <x v="1"/>
    <n v="0"/>
    <x v="5"/>
    <x v="0"/>
    <x v="0"/>
    <n v="75"/>
    <n v="85.5"/>
    <n v="300"/>
    <n v="342"/>
    <x v="8"/>
    <x v="1"/>
    <x v="0"/>
  </r>
  <r>
    <d v="2021-08-10T00:00:00"/>
    <s v="P0006"/>
    <n v="6"/>
    <x v="1"/>
    <x v="1"/>
    <n v="0"/>
    <x v="5"/>
    <x v="0"/>
    <x v="0"/>
    <n v="75"/>
    <n v="85.5"/>
    <n v="450"/>
    <n v="513"/>
    <x v="4"/>
    <x v="3"/>
    <x v="0"/>
  </r>
  <r>
    <d v="2021-09-30T00:00:00"/>
    <s v="P0006"/>
    <n v="5"/>
    <x v="0"/>
    <x v="0"/>
    <n v="0"/>
    <x v="5"/>
    <x v="0"/>
    <x v="0"/>
    <n v="75"/>
    <n v="85.5"/>
    <n v="375"/>
    <n v="427.5"/>
    <x v="9"/>
    <x v="4"/>
    <x v="0"/>
  </r>
  <r>
    <d v="2021-11-21T00:00:00"/>
    <s v="P0006"/>
    <n v="1"/>
    <x v="0"/>
    <x v="1"/>
    <n v="0"/>
    <x v="5"/>
    <x v="0"/>
    <x v="0"/>
    <n v="75"/>
    <n v="85.5"/>
    <n v="75"/>
    <n v="85.5"/>
    <x v="19"/>
    <x v="10"/>
    <x v="0"/>
  </r>
  <r>
    <d v="2022-07-24T00:00:00"/>
    <s v="P0006"/>
    <n v="14"/>
    <x v="1"/>
    <x v="1"/>
    <n v="0"/>
    <x v="5"/>
    <x v="0"/>
    <x v="0"/>
    <n v="75"/>
    <n v="85.5"/>
    <n v="1050"/>
    <n v="1197"/>
    <x v="28"/>
    <x v="7"/>
    <x v="1"/>
  </r>
  <r>
    <d v="2022-08-30T00:00:00"/>
    <s v="P0006"/>
    <n v="6"/>
    <x v="0"/>
    <x v="1"/>
    <n v="0"/>
    <x v="5"/>
    <x v="0"/>
    <x v="0"/>
    <n v="75"/>
    <n v="85.5"/>
    <n v="450"/>
    <n v="513"/>
    <x v="9"/>
    <x v="3"/>
    <x v="1"/>
  </r>
  <r>
    <d v="2022-12-21T00:00:00"/>
    <s v="P0006"/>
    <n v="10"/>
    <x v="1"/>
    <x v="0"/>
    <n v="0"/>
    <x v="5"/>
    <x v="0"/>
    <x v="0"/>
    <n v="75"/>
    <n v="85.5"/>
    <n v="750"/>
    <n v="855"/>
    <x v="19"/>
    <x v="11"/>
    <x v="1"/>
  </r>
  <r>
    <d v="2021-03-28T00:00:00"/>
    <s v="P0007"/>
    <n v="8"/>
    <x v="0"/>
    <x v="1"/>
    <n v="0"/>
    <x v="6"/>
    <x v="0"/>
    <x v="1"/>
    <n v="43"/>
    <n v="47.730000000000004"/>
    <n v="344"/>
    <n v="381.84000000000003"/>
    <x v="24"/>
    <x v="1"/>
    <x v="0"/>
  </r>
  <r>
    <d v="2021-11-08T00:00:00"/>
    <s v="P0007"/>
    <n v="15"/>
    <x v="1"/>
    <x v="0"/>
    <n v="0"/>
    <x v="6"/>
    <x v="0"/>
    <x v="1"/>
    <n v="43"/>
    <n v="47.730000000000004"/>
    <n v="645"/>
    <n v="715.95"/>
    <x v="25"/>
    <x v="10"/>
    <x v="0"/>
  </r>
  <r>
    <d v="2022-07-04T00:00:00"/>
    <s v="P0007"/>
    <n v="7"/>
    <x v="1"/>
    <x v="0"/>
    <n v="0"/>
    <x v="6"/>
    <x v="0"/>
    <x v="1"/>
    <n v="43"/>
    <n v="47.730000000000004"/>
    <n v="301"/>
    <n v="334.11"/>
    <x v="16"/>
    <x v="7"/>
    <x v="1"/>
  </r>
  <r>
    <d v="2022-08-19T00:00:00"/>
    <s v="P0007"/>
    <n v="3"/>
    <x v="0"/>
    <x v="0"/>
    <n v="0"/>
    <x v="6"/>
    <x v="0"/>
    <x v="1"/>
    <n v="43"/>
    <n v="47.730000000000004"/>
    <n v="129"/>
    <n v="143.19"/>
    <x v="14"/>
    <x v="3"/>
    <x v="1"/>
  </r>
  <r>
    <d v="2022-10-04T00:00:00"/>
    <s v="P0007"/>
    <n v="15"/>
    <x v="1"/>
    <x v="0"/>
    <n v="0"/>
    <x v="6"/>
    <x v="0"/>
    <x v="1"/>
    <n v="43"/>
    <n v="47.730000000000004"/>
    <n v="645"/>
    <n v="715.95"/>
    <x v="16"/>
    <x v="5"/>
    <x v="1"/>
  </r>
  <r>
    <d v="2021-02-12T00:00:00"/>
    <s v="P0008"/>
    <n v="7"/>
    <x v="1"/>
    <x v="1"/>
    <n v="0"/>
    <x v="7"/>
    <x v="0"/>
    <x v="0"/>
    <n v="83"/>
    <n v="94.62"/>
    <n v="581"/>
    <n v="662.34"/>
    <x v="29"/>
    <x v="6"/>
    <x v="0"/>
  </r>
  <r>
    <d v="2021-05-06T00:00:00"/>
    <s v="P0008"/>
    <n v="15"/>
    <x v="1"/>
    <x v="0"/>
    <n v="0"/>
    <x v="7"/>
    <x v="0"/>
    <x v="0"/>
    <n v="83"/>
    <n v="94.62"/>
    <n v="1245"/>
    <n v="1419.3000000000002"/>
    <x v="13"/>
    <x v="9"/>
    <x v="0"/>
  </r>
  <r>
    <d v="2021-10-28T00:00:00"/>
    <s v="P0008"/>
    <n v="1"/>
    <x v="1"/>
    <x v="1"/>
    <n v="0"/>
    <x v="7"/>
    <x v="0"/>
    <x v="0"/>
    <n v="83"/>
    <n v="94.62"/>
    <n v="83"/>
    <n v="94.62"/>
    <x v="24"/>
    <x v="5"/>
    <x v="0"/>
  </r>
  <r>
    <d v="2021-11-20T00:00:00"/>
    <s v="P0008"/>
    <n v="11"/>
    <x v="0"/>
    <x v="1"/>
    <n v="0"/>
    <x v="7"/>
    <x v="0"/>
    <x v="0"/>
    <n v="83"/>
    <n v="94.62"/>
    <n v="913"/>
    <n v="1040.8200000000002"/>
    <x v="10"/>
    <x v="10"/>
    <x v="0"/>
  </r>
  <r>
    <d v="2022-01-18T00:00:00"/>
    <s v="P0008"/>
    <n v="9"/>
    <x v="2"/>
    <x v="1"/>
    <n v="0"/>
    <x v="7"/>
    <x v="0"/>
    <x v="0"/>
    <n v="83"/>
    <n v="94.62"/>
    <n v="747"/>
    <n v="851.58"/>
    <x v="22"/>
    <x v="0"/>
    <x v="1"/>
  </r>
  <r>
    <d v="2022-05-14T00:00:00"/>
    <s v="P0008"/>
    <n v="14"/>
    <x v="1"/>
    <x v="1"/>
    <n v="0"/>
    <x v="7"/>
    <x v="0"/>
    <x v="0"/>
    <n v="83"/>
    <n v="94.62"/>
    <n v="1162"/>
    <n v="1324.68"/>
    <x v="18"/>
    <x v="9"/>
    <x v="1"/>
  </r>
  <r>
    <d v="2022-05-28T00:00:00"/>
    <s v="P0008"/>
    <n v="5"/>
    <x v="2"/>
    <x v="0"/>
    <n v="0"/>
    <x v="7"/>
    <x v="0"/>
    <x v="0"/>
    <n v="83"/>
    <n v="94.62"/>
    <n v="415"/>
    <n v="473.1"/>
    <x v="24"/>
    <x v="9"/>
    <x v="1"/>
  </r>
  <r>
    <d v="2022-06-03T00:00:00"/>
    <s v="P0008"/>
    <n v="14"/>
    <x v="0"/>
    <x v="0"/>
    <n v="0"/>
    <x v="7"/>
    <x v="0"/>
    <x v="0"/>
    <n v="83"/>
    <n v="94.62"/>
    <n v="1162"/>
    <n v="1324.68"/>
    <x v="20"/>
    <x v="2"/>
    <x v="1"/>
  </r>
  <r>
    <d v="2022-10-11T00:00:00"/>
    <s v="P0008"/>
    <n v="10"/>
    <x v="1"/>
    <x v="0"/>
    <n v="0"/>
    <x v="7"/>
    <x v="0"/>
    <x v="0"/>
    <n v="83"/>
    <n v="94.62"/>
    <n v="830"/>
    <n v="946.2"/>
    <x v="5"/>
    <x v="5"/>
    <x v="1"/>
  </r>
  <r>
    <d v="2022-11-04T00:00:00"/>
    <s v="P0008"/>
    <n v="10"/>
    <x v="1"/>
    <x v="0"/>
    <n v="0"/>
    <x v="7"/>
    <x v="0"/>
    <x v="0"/>
    <n v="83"/>
    <n v="94.62"/>
    <n v="830"/>
    <n v="946.2"/>
    <x v="16"/>
    <x v="10"/>
    <x v="1"/>
  </r>
  <r>
    <d v="2022-12-29T00:00:00"/>
    <s v="P0008"/>
    <n v="15"/>
    <x v="1"/>
    <x v="0"/>
    <n v="0"/>
    <x v="7"/>
    <x v="0"/>
    <x v="0"/>
    <n v="83"/>
    <n v="94.62"/>
    <n v="1245"/>
    <n v="1419.3000000000002"/>
    <x v="30"/>
    <x v="11"/>
    <x v="1"/>
  </r>
  <r>
    <d v="2021-04-04T00:00:00"/>
    <s v="P0009"/>
    <n v="9"/>
    <x v="0"/>
    <x v="1"/>
    <n v="0"/>
    <x v="8"/>
    <x v="0"/>
    <x v="3"/>
    <n v="6"/>
    <n v="7.8599999999999994"/>
    <n v="54"/>
    <n v="70.739999999999995"/>
    <x v="16"/>
    <x v="8"/>
    <x v="0"/>
  </r>
  <r>
    <d v="2021-05-05T00:00:00"/>
    <s v="P0009"/>
    <n v="13"/>
    <x v="1"/>
    <x v="1"/>
    <n v="0"/>
    <x v="8"/>
    <x v="0"/>
    <x v="3"/>
    <n v="6"/>
    <n v="7.8599999999999994"/>
    <n v="78"/>
    <n v="102.17999999999999"/>
    <x v="11"/>
    <x v="9"/>
    <x v="0"/>
  </r>
  <r>
    <d v="2021-05-06T00:00:00"/>
    <s v="P0009"/>
    <n v="6"/>
    <x v="0"/>
    <x v="0"/>
    <n v="0"/>
    <x v="8"/>
    <x v="0"/>
    <x v="3"/>
    <n v="6"/>
    <n v="7.8599999999999994"/>
    <n v="36"/>
    <n v="47.16"/>
    <x v="13"/>
    <x v="9"/>
    <x v="0"/>
  </r>
  <r>
    <d v="2021-06-26T00:00:00"/>
    <s v="P0009"/>
    <n v="7"/>
    <x v="0"/>
    <x v="0"/>
    <n v="0"/>
    <x v="8"/>
    <x v="0"/>
    <x v="3"/>
    <n v="6"/>
    <n v="7.8599999999999994"/>
    <n v="42"/>
    <n v="55.019999999999996"/>
    <x v="0"/>
    <x v="2"/>
    <x v="0"/>
  </r>
  <r>
    <d v="2021-07-11T00:00:00"/>
    <s v="P0009"/>
    <n v="4"/>
    <x v="2"/>
    <x v="0"/>
    <n v="0"/>
    <x v="8"/>
    <x v="0"/>
    <x v="3"/>
    <n v="6"/>
    <n v="7.8599999999999994"/>
    <n v="24"/>
    <n v="31.439999999999998"/>
    <x v="5"/>
    <x v="7"/>
    <x v="0"/>
  </r>
  <r>
    <d v="2021-07-24T00:00:00"/>
    <s v="P0009"/>
    <n v="4"/>
    <x v="0"/>
    <x v="1"/>
    <n v="0"/>
    <x v="8"/>
    <x v="0"/>
    <x v="3"/>
    <n v="6"/>
    <n v="7.8599999999999994"/>
    <n v="24"/>
    <n v="31.439999999999998"/>
    <x v="28"/>
    <x v="7"/>
    <x v="0"/>
  </r>
  <r>
    <d v="2021-10-22T00:00:00"/>
    <s v="P0009"/>
    <n v="1"/>
    <x v="1"/>
    <x v="1"/>
    <n v="0"/>
    <x v="8"/>
    <x v="0"/>
    <x v="3"/>
    <n v="6"/>
    <n v="7.8599999999999994"/>
    <n v="6"/>
    <n v="7.8599999999999994"/>
    <x v="7"/>
    <x v="5"/>
    <x v="0"/>
  </r>
  <r>
    <d v="2022-05-10T00:00:00"/>
    <s v="P0009"/>
    <n v="6"/>
    <x v="1"/>
    <x v="0"/>
    <n v="0"/>
    <x v="8"/>
    <x v="0"/>
    <x v="3"/>
    <n v="6"/>
    <n v="7.8599999999999994"/>
    <n v="36"/>
    <n v="47.16"/>
    <x v="4"/>
    <x v="9"/>
    <x v="1"/>
  </r>
  <r>
    <d v="2022-12-15T00:00:00"/>
    <s v="P0009"/>
    <n v="13"/>
    <x v="1"/>
    <x v="0"/>
    <n v="0"/>
    <x v="8"/>
    <x v="0"/>
    <x v="3"/>
    <n v="6"/>
    <n v="7.8599999999999994"/>
    <n v="78"/>
    <n v="102.17999999999999"/>
    <x v="26"/>
    <x v="11"/>
    <x v="1"/>
  </r>
  <r>
    <d v="2022-12-19T00:00:00"/>
    <s v="P0009"/>
    <n v="11"/>
    <x v="0"/>
    <x v="0"/>
    <n v="0"/>
    <x v="8"/>
    <x v="0"/>
    <x v="3"/>
    <n v="6"/>
    <n v="7.8599999999999994"/>
    <n v="66"/>
    <n v="86.46"/>
    <x v="14"/>
    <x v="11"/>
    <x v="1"/>
  </r>
  <r>
    <d v="2021-02-02T00:00:00"/>
    <s v="P0010"/>
    <n v="7"/>
    <x v="0"/>
    <x v="0"/>
    <n v="0"/>
    <x v="9"/>
    <x v="1"/>
    <x v="2"/>
    <n v="148"/>
    <n v="164.28"/>
    <n v="1036"/>
    <n v="1149.96"/>
    <x v="15"/>
    <x v="6"/>
    <x v="0"/>
  </r>
  <r>
    <d v="2021-03-26T00:00:00"/>
    <s v="P0010"/>
    <n v="9"/>
    <x v="1"/>
    <x v="0"/>
    <n v="0"/>
    <x v="9"/>
    <x v="1"/>
    <x v="2"/>
    <n v="148"/>
    <n v="164.28"/>
    <n v="1332"/>
    <n v="1478.52"/>
    <x v="0"/>
    <x v="1"/>
    <x v="0"/>
  </r>
  <r>
    <d v="2021-07-02T00:00:00"/>
    <s v="P0010"/>
    <n v="11"/>
    <x v="1"/>
    <x v="1"/>
    <n v="0"/>
    <x v="9"/>
    <x v="1"/>
    <x v="2"/>
    <n v="148"/>
    <n v="164.28"/>
    <n v="1628"/>
    <n v="1807.08"/>
    <x v="15"/>
    <x v="7"/>
    <x v="0"/>
  </r>
  <r>
    <d v="2021-11-12T00:00:00"/>
    <s v="P0010"/>
    <n v="3"/>
    <x v="0"/>
    <x v="1"/>
    <n v="0"/>
    <x v="9"/>
    <x v="1"/>
    <x v="2"/>
    <n v="148"/>
    <n v="164.28"/>
    <n v="444"/>
    <n v="492.84000000000003"/>
    <x v="29"/>
    <x v="10"/>
    <x v="0"/>
  </r>
  <r>
    <d v="2021-12-05T00:00:00"/>
    <s v="P0010"/>
    <n v="1"/>
    <x v="1"/>
    <x v="0"/>
    <n v="0"/>
    <x v="9"/>
    <x v="1"/>
    <x v="2"/>
    <n v="148"/>
    <n v="164.28"/>
    <n v="148"/>
    <n v="164.28"/>
    <x v="11"/>
    <x v="11"/>
    <x v="0"/>
  </r>
  <r>
    <d v="2021-12-30T00:00:00"/>
    <s v="P0010"/>
    <n v="13"/>
    <x v="0"/>
    <x v="0"/>
    <n v="0"/>
    <x v="9"/>
    <x v="1"/>
    <x v="2"/>
    <n v="148"/>
    <n v="164.28"/>
    <n v="1924"/>
    <n v="2135.64"/>
    <x v="9"/>
    <x v="11"/>
    <x v="0"/>
  </r>
  <r>
    <d v="2022-01-02T00:00:00"/>
    <s v="P0010"/>
    <n v="7"/>
    <x v="1"/>
    <x v="1"/>
    <n v="0"/>
    <x v="9"/>
    <x v="1"/>
    <x v="2"/>
    <n v="148"/>
    <n v="164.28"/>
    <n v="1036"/>
    <n v="1149.96"/>
    <x v="15"/>
    <x v="0"/>
    <x v="1"/>
  </r>
  <r>
    <d v="2022-02-12T00:00:00"/>
    <s v="P0010"/>
    <n v="13"/>
    <x v="1"/>
    <x v="1"/>
    <n v="0"/>
    <x v="9"/>
    <x v="1"/>
    <x v="2"/>
    <n v="148"/>
    <n v="164.28"/>
    <n v="1924"/>
    <n v="2135.64"/>
    <x v="29"/>
    <x v="6"/>
    <x v="1"/>
  </r>
  <r>
    <d v="2022-05-16T00:00:00"/>
    <s v="P0010"/>
    <n v="13"/>
    <x v="1"/>
    <x v="1"/>
    <n v="0"/>
    <x v="9"/>
    <x v="1"/>
    <x v="2"/>
    <n v="148"/>
    <n v="164.28"/>
    <n v="1924"/>
    <n v="2135.64"/>
    <x v="21"/>
    <x v="9"/>
    <x v="1"/>
  </r>
  <r>
    <d v="2022-05-28T00:00:00"/>
    <s v="P0010"/>
    <n v="9"/>
    <x v="0"/>
    <x v="1"/>
    <n v="0"/>
    <x v="9"/>
    <x v="1"/>
    <x v="2"/>
    <n v="148"/>
    <n v="164.28"/>
    <n v="1332"/>
    <n v="1478.52"/>
    <x v="24"/>
    <x v="9"/>
    <x v="1"/>
  </r>
  <r>
    <d v="2022-07-18T00:00:00"/>
    <s v="P0010"/>
    <n v="12"/>
    <x v="1"/>
    <x v="0"/>
    <n v="0"/>
    <x v="9"/>
    <x v="1"/>
    <x v="2"/>
    <n v="148"/>
    <n v="164.28"/>
    <n v="1776"/>
    <n v="1971.3600000000001"/>
    <x v="22"/>
    <x v="7"/>
    <x v="1"/>
  </r>
  <r>
    <d v="2022-08-18T00:00:00"/>
    <s v="P0010"/>
    <n v="2"/>
    <x v="0"/>
    <x v="1"/>
    <n v="0"/>
    <x v="9"/>
    <x v="1"/>
    <x v="2"/>
    <n v="148"/>
    <n v="164.28"/>
    <n v="296"/>
    <n v="328.56"/>
    <x v="22"/>
    <x v="3"/>
    <x v="1"/>
  </r>
  <r>
    <d v="2021-03-03T00:00:00"/>
    <s v="P0011"/>
    <n v="1"/>
    <x v="1"/>
    <x v="0"/>
    <n v="0"/>
    <x v="10"/>
    <x v="1"/>
    <x v="1"/>
    <n v="44"/>
    <n v="48.4"/>
    <n v="44"/>
    <n v="48.4"/>
    <x v="20"/>
    <x v="1"/>
    <x v="0"/>
  </r>
  <r>
    <d v="2021-06-24T00:00:00"/>
    <s v="P0011"/>
    <n v="13"/>
    <x v="1"/>
    <x v="0"/>
    <n v="0"/>
    <x v="10"/>
    <x v="1"/>
    <x v="1"/>
    <n v="44"/>
    <n v="48.4"/>
    <n v="572"/>
    <n v="629.19999999999993"/>
    <x v="28"/>
    <x v="2"/>
    <x v="0"/>
  </r>
  <r>
    <d v="2021-08-13T00:00:00"/>
    <s v="P0011"/>
    <n v="13"/>
    <x v="1"/>
    <x v="0"/>
    <n v="0"/>
    <x v="10"/>
    <x v="1"/>
    <x v="1"/>
    <n v="44"/>
    <n v="48.4"/>
    <n v="572"/>
    <n v="629.19999999999993"/>
    <x v="17"/>
    <x v="3"/>
    <x v="0"/>
  </r>
  <r>
    <d v="2021-10-11T00:00:00"/>
    <s v="P0011"/>
    <n v="15"/>
    <x v="1"/>
    <x v="1"/>
    <n v="0"/>
    <x v="10"/>
    <x v="1"/>
    <x v="1"/>
    <n v="44"/>
    <n v="48.4"/>
    <n v="660"/>
    <n v="726"/>
    <x v="5"/>
    <x v="5"/>
    <x v="0"/>
  </r>
  <r>
    <d v="2021-10-22T00:00:00"/>
    <s v="P0011"/>
    <n v="7"/>
    <x v="1"/>
    <x v="1"/>
    <n v="0"/>
    <x v="10"/>
    <x v="1"/>
    <x v="1"/>
    <n v="44"/>
    <n v="48.4"/>
    <n v="308"/>
    <n v="338.8"/>
    <x v="7"/>
    <x v="5"/>
    <x v="0"/>
  </r>
  <r>
    <d v="2021-10-24T00:00:00"/>
    <s v="P0011"/>
    <n v="3"/>
    <x v="2"/>
    <x v="1"/>
    <n v="0"/>
    <x v="10"/>
    <x v="1"/>
    <x v="1"/>
    <n v="44"/>
    <n v="48.4"/>
    <n v="132"/>
    <n v="145.19999999999999"/>
    <x v="28"/>
    <x v="5"/>
    <x v="0"/>
  </r>
  <r>
    <d v="2021-12-19T00:00:00"/>
    <s v="P0011"/>
    <n v="10"/>
    <x v="0"/>
    <x v="0"/>
    <n v="0"/>
    <x v="10"/>
    <x v="1"/>
    <x v="1"/>
    <n v="44"/>
    <n v="48.4"/>
    <n v="440"/>
    <n v="484"/>
    <x v="14"/>
    <x v="11"/>
    <x v="0"/>
  </r>
  <r>
    <d v="2022-01-14T00:00:00"/>
    <s v="P0011"/>
    <n v="14"/>
    <x v="1"/>
    <x v="0"/>
    <n v="0"/>
    <x v="10"/>
    <x v="1"/>
    <x v="1"/>
    <n v="44"/>
    <n v="48.4"/>
    <n v="616"/>
    <n v="677.6"/>
    <x v="18"/>
    <x v="0"/>
    <x v="1"/>
  </r>
  <r>
    <d v="2022-05-12T00:00:00"/>
    <s v="P0011"/>
    <n v="7"/>
    <x v="0"/>
    <x v="1"/>
    <n v="0"/>
    <x v="10"/>
    <x v="1"/>
    <x v="1"/>
    <n v="44"/>
    <n v="48.4"/>
    <n v="308"/>
    <n v="338.8"/>
    <x v="29"/>
    <x v="9"/>
    <x v="1"/>
  </r>
  <r>
    <d v="2022-08-15T00:00:00"/>
    <s v="P0011"/>
    <n v="10"/>
    <x v="2"/>
    <x v="1"/>
    <n v="0"/>
    <x v="10"/>
    <x v="1"/>
    <x v="1"/>
    <n v="44"/>
    <n v="48.4"/>
    <n v="440"/>
    <n v="484"/>
    <x v="26"/>
    <x v="3"/>
    <x v="1"/>
  </r>
  <r>
    <d v="2022-10-03T00:00:00"/>
    <s v="P0011"/>
    <n v="5"/>
    <x v="1"/>
    <x v="1"/>
    <n v="0"/>
    <x v="10"/>
    <x v="1"/>
    <x v="1"/>
    <n v="44"/>
    <n v="48.4"/>
    <n v="220"/>
    <n v="242"/>
    <x v="20"/>
    <x v="5"/>
    <x v="1"/>
  </r>
  <r>
    <d v="2022-12-19T00:00:00"/>
    <s v="P0011"/>
    <n v="14"/>
    <x v="1"/>
    <x v="1"/>
    <n v="0"/>
    <x v="10"/>
    <x v="1"/>
    <x v="1"/>
    <n v="44"/>
    <n v="48.4"/>
    <n v="616"/>
    <n v="677.6"/>
    <x v="14"/>
    <x v="11"/>
    <x v="1"/>
  </r>
  <r>
    <d v="2022-12-31T00:00:00"/>
    <s v="P0011"/>
    <n v="6"/>
    <x v="0"/>
    <x v="0"/>
    <n v="0"/>
    <x v="10"/>
    <x v="1"/>
    <x v="1"/>
    <n v="44"/>
    <n v="48.4"/>
    <n v="264"/>
    <n v="290.39999999999998"/>
    <x v="3"/>
    <x v="11"/>
    <x v="1"/>
  </r>
  <r>
    <d v="2022-12-31T00:00:00"/>
    <s v="P0011"/>
    <n v="3"/>
    <x v="2"/>
    <x v="1"/>
    <n v="0"/>
    <x v="10"/>
    <x v="1"/>
    <x v="1"/>
    <n v="44"/>
    <n v="48.4"/>
    <n v="132"/>
    <n v="145.19999999999999"/>
    <x v="3"/>
    <x v="11"/>
    <x v="1"/>
  </r>
  <r>
    <d v="2021-03-16T00:00:00"/>
    <s v="P0012"/>
    <n v="14"/>
    <x v="1"/>
    <x v="1"/>
    <n v="0"/>
    <x v="11"/>
    <x v="1"/>
    <x v="0"/>
    <n v="73"/>
    <n v="94.17"/>
    <n v="1022"/>
    <n v="1318.38"/>
    <x v="21"/>
    <x v="1"/>
    <x v="0"/>
  </r>
  <r>
    <d v="2021-03-22T00:00:00"/>
    <s v="P0012"/>
    <n v="4"/>
    <x v="0"/>
    <x v="0"/>
    <n v="0"/>
    <x v="11"/>
    <x v="1"/>
    <x v="0"/>
    <n v="73"/>
    <n v="94.17"/>
    <n v="292"/>
    <n v="376.68"/>
    <x v="7"/>
    <x v="1"/>
    <x v="0"/>
  </r>
  <r>
    <d v="2021-11-27T00:00:00"/>
    <s v="P0012"/>
    <n v="8"/>
    <x v="0"/>
    <x v="0"/>
    <n v="0"/>
    <x v="11"/>
    <x v="1"/>
    <x v="0"/>
    <n v="73"/>
    <n v="94.17"/>
    <n v="584"/>
    <n v="753.36"/>
    <x v="27"/>
    <x v="10"/>
    <x v="0"/>
  </r>
  <r>
    <d v="2021-12-20T00:00:00"/>
    <s v="P0012"/>
    <n v="14"/>
    <x v="1"/>
    <x v="0"/>
    <n v="0"/>
    <x v="11"/>
    <x v="1"/>
    <x v="0"/>
    <n v="73"/>
    <n v="94.17"/>
    <n v="1022"/>
    <n v="1318.38"/>
    <x v="10"/>
    <x v="11"/>
    <x v="0"/>
  </r>
  <r>
    <d v="2022-01-04T00:00:00"/>
    <s v="P0012"/>
    <n v="8"/>
    <x v="1"/>
    <x v="0"/>
    <n v="0"/>
    <x v="11"/>
    <x v="1"/>
    <x v="0"/>
    <n v="73"/>
    <n v="94.17"/>
    <n v="584"/>
    <n v="753.36"/>
    <x v="16"/>
    <x v="0"/>
    <x v="1"/>
  </r>
  <r>
    <d v="2022-02-20T00:00:00"/>
    <s v="P0012"/>
    <n v="6"/>
    <x v="1"/>
    <x v="1"/>
    <n v="0"/>
    <x v="11"/>
    <x v="1"/>
    <x v="0"/>
    <n v="73"/>
    <n v="94.17"/>
    <n v="438"/>
    <n v="565.02"/>
    <x v="10"/>
    <x v="6"/>
    <x v="1"/>
  </r>
  <r>
    <d v="2022-02-27T00:00:00"/>
    <s v="P0012"/>
    <n v="7"/>
    <x v="1"/>
    <x v="1"/>
    <n v="0"/>
    <x v="11"/>
    <x v="1"/>
    <x v="0"/>
    <n v="73"/>
    <n v="94.17"/>
    <n v="511"/>
    <n v="659.19"/>
    <x v="27"/>
    <x v="6"/>
    <x v="1"/>
  </r>
  <r>
    <d v="2022-04-20T00:00:00"/>
    <s v="P0012"/>
    <n v="4"/>
    <x v="1"/>
    <x v="0"/>
    <n v="0"/>
    <x v="11"/>
    <x v="1"/>
    <x v="0"/>
    <n v="73"/>
    <n v="94.17"/>
    <n v="292"/>
    <n v="376.68"/>
    <x v="10"/>
    <x v="8"/>
    <x v="1"/>
  </r>
  <r>
    <d v="2022-05-13T00:00:00"/>
    <s v="P0012"/>
    <n v="5"/>
    <x v="1"/>
    <x v="0"/>
    <n v="0"/>
    <x v="11"/>
    <x v="1"/>
    <x v="0"/>
    <n v="73"/>
    <n v="94.17"/>
    <n v="365"/>
    <n v="470.85"/>
    <x v="17"/>
    <x v="9"/>
    <x v="1"/>
  </r>
  <r>
    <d v="2022-06-25T00:00:00"/>
    <s v="P0012"/>
    <n v="7"/>
    <x v="0"/>
    <x v="0"/>
    <n v="0"/>
    <x v="11"/>
    <x v="1"/>
    <x v="0"/>
    <n v="73"/>
    <n v="94.17"/>
    <n v="511"/>
    <n v="659.19"/>
    <x v="8"/>
    <x v="2"/>
    <x v="1"/>
  </r>
  <r>
    <d v="2022-08-03T00:00:00"/>
    <s v="P0012"/>
    <n v="5"/>
    <x v="1"/>
    <x v="1"/>
    <n v="0"/>
    <x v="11"/>
    <x v="1"/>
    <x v="0"/>
    <n v="73"/>
    <n v="94.17"/>
    <n v="365"/>
    <n v="470.85"/>
    <x v="20"/>
    <x v="3"/>
    <x v="1"/>
  </r>
  <r>
    <d v="2022-09-23T00:00:00"/>
    <s v="P0012"/>
    <n v="12"/>
    <x v="1"/>
    <x v="0"/>
    <n v="0"/>
    <x v="11"/>
    <x v="1"/>
    <x v="0"/>
    <n v="73"/>
    <n v="94.17"/>
    <n v="876"/>
    <n v="1130.04"/>
    <x v="12"/>
    <x v="4"/>
    <x v="1"/>
  </r>
  <r>
    <d v="2022-11-01T00:00:00"/>
    <s v="P0012"/>
    <n v="15"/>
    <x v="2"/>
    <x v="0"/>
    <n v="0"/>
    <x v="11"/>
    <x v="1"/>
    <x v="0"/>
    <n v="73"/>
    <n v="94.17"/>
    <n v="1095"/>
    <n v="1412.55"/>
    <x v="2"/>
    <x v="10"/>
    <x v="1"/>
  </r>
  <r>
    <d v="2022-11-15T00:00:00"/>
    <s v="P0012"/>
    <n v="14"/>
    <x v="1"/>
    <x v="1"/>
    <n v="0"/>
    <x v="11"/>
    <x v="1"/>
    <x v="0"/>
    <n v="73"/>
    <n v="94.17"/>
    <n v="1022"/>
    <n v="1318.38"/>
    <x v="26"/>
    <x v="10"/>
    <x v="1"/>
  </r>
  <r>
    <d v="2022-12-31T00:00:00"/>
    <s v="P0012"/>
    <n v="5"/>
    <x v="0"/>
    <x v="0"/>
    <n v="0"/>
    <x v="11"/>
    <x v="1"/>
    <x v="0"/>
    <n v="73"/>
    <n v="94.17"/>
    <n v="365"/>
    <n v="470.85"/>
    <x v="3"/>
    <x v="11"/>
    <x v="1"/>
  </r>
  <r>
    <d v="2021-01-02T00:00:00"/>
    <s v="P0013"/>
    <n v="6"/>
    <x v="1"/>
    <x v="1"/>
    <n v="0"/>
    <x v="12"/>
    <x v="1"/>
    <x v="0"/>
    <n v="112"/>
    <n v="122.08"/>
    <n v="672"/>
    <n v="732.48"/>
    <x v="15"/>
    <x v="0"/>
    <x v="0"/>
  </r>
  <r>
    <d v="2021-02-22T00:00:00"/>
    <s v="P0013"/>
    <n v="5"/>
    <x v="0"/>
    <x v="1"/>
    <n v="0"/>
    <x v="12"/>
    <x v="1"/>
    <x v="0"/>
    <n v="112"/>
    <n v="122.08"/>
    <n v="560"/>
    <n v="610.4"/>
    <x v="7"/>
    <x v="6"/>
    <x v="0"/>
  </r>
  <r>
    <d v="2021-05-30T00:00:00"/>
    <s v="P0013"/>
    <n v="6"/>
    <x v="0"/>
    <x v="1"/>
    <n v="0"/>
    <x v="12"/>
    <x v="1"/>
    <x v="0"/>
    <n v="112"/>
    <n v="122.08"/>
    <n v="672"/>
    <n v="732.48"/>
    <x v="9"/>
    <x v="9"/>
    <x v="0"/>
  </r>
  <r>
    <d v="2021-08-30T00:00:00"/>
    <s v="P0013"/>
    <n v="13"/>
    <x v="1"/>
    <x v="0"/>
    <n v="0"/>
    <x v="12"/>
    <x v="1"/>
    <x v="0"/>
    <n v="112"/>
    <n v="122.08"/>
    <n v="1456"/>
    <n v="1587.04"/>
    <x v="9"/>
    <x v="3"/>
    <x v="0"/>
  </r>
  <r>
    <d v="2021-11-03T00:00:00"/>
    <s v="P0013"/>
    <n v="12"/>
    <x v="1"/>
    <x v="1"/>
    <n v="0"/>
    <x v="12"/>
    <x v="1"/>
    <x v="0"/>
    <n v="112"/>
    <n v="122.08"/>
    <n v="1344"/>
    <n v="1464.96"/>
    <x v="20"/>
    <x v="10"/>
    <x v="0"/>
  </r>
  <r>
    <d v="2021-12-07T00:00:00"/>
    <s v="P0013"/>
    <n v="8"/>
    <x v="1"/>
    <x v="0"/>
    <n v="0"/>
    <x v="12"/>
    <x v="1"/>
    <x v="0"/>
    <n v="112"/>
    <n v="122.08"/>
    <n v="896"/>
    <n v="976.64"/>
    <x v="23"/>
    <x v="11"/>
    <x v="0"/>
  </r>
  <r>
    <d v="2022-02-23T00:00:00"/>
    <s v="P0013"/>
    <n v="6"/>
    <x v="0"/>
    <x v="0"/>
    <n v="0"/>
    <x v="12"/>
    <x v="1"/>
    <x v="0"/>
    <n v="112"/>
    <n v="122.08"/>
    <n v="672"/>
    <n v="732.48"/>
    <x v="12"/>
    <x v="6"/>
    <x v="1"/>
  </r>
  <r>
    <d v="2022-05-02T00:00:00"/>
    <s v="P0013"/>
    <n v="4"/>
    <x v="0"/>
    <x v="1"/>
    <n v="0"/>
    <x v="12"/>
    <x v="1"/>
    <x v="0"/>
    <n v="112"/>
    <n v="122.08"/>
    <n v="448"/>
    <n v="488.32"/>
    <x v="15"/>
    <x v="9"/>
    <x v="1"/>
  </r>
  <r>
    <d v="2022-12-11T00:00:00"/>
    <s v="P0013"/>
    <n v="9"/>
    <x v="2"/>
    <x v="0"/>
    <n v="0"/>
    <x v="12"/>
    <x v="1"/>
    <x v="0"/>
    <n v="112"/>
    <n v="122.08"/>
    <n v="1008"/>
    <n v="1098.72"/>
    <x v="5"/>
    <x v="11"/>
    <x v="1"/>
  </r>
  <r>
    <d v="2021-01-11T00:00:00"/>
    <s v="P0014"/>
    <n v="4"/>
    <x v="2"/>
    <x v="0"/>
    <n v="0"/>
    <x v="13"/>
    <x v="1"/>
    <x v="0"/>
    <n v="112"/>
    <n v="146.72"/>
    <n v="448"/>
    <n v="586.88"/>
    <x v="5"/>
    <x v="0"/>
    <x v="0"/>
  </r>
  <r>
    <d v="2021-05-04T00:00:00"/>
    <s v="P0014"/>
    <n v="4"/>
    <x v="1"/>
    <x v="1"/>
    <n v="0"/>
    <x v="13"/>
    <x v="1"/>
    <x v="0"/>
    <n v="112"/>
    <n v="146.72"/>
    <n v="448"/>
    <n v="586.88"/>
    <x v="16"/>
    <x v="9"/>
    <x v="0"/>
  </r>
  <r>
    <d v="2021-06-29T00:00:00"/>
    <s v="P0014"/>
    <n v="4"/>
    <x v="1"/>
    <x v="0"/>
    <n v="0"/>
    <x v="13"/>
    <x v="1"/>
    <x v="0"/>
    <n v="112"/>
    <n v="146.72"/>
    <n v="448"/>
    <n v="586.88"/>
    <x v="30"/>
    <x v="2"/>
    <x v="0"/>
  </r>
  <r>
    <d v="2021-09-30T00:00:00"/>
    <s v="P0014"/>
    <n v="9"/>
    <x v="0"/>
    <x v="0"/>
    <n v="0"/>
    <x v="13"/>
    <x v="1"/>
    <x v="0"/>
    <n v="112"/>
    <n v="146.72"/>
    <n v="1008"/>
    <n v="1320.48"/>
    <x v="9"/>
    <x v="4"/>
    <x v="0"/>
  </r>
  <r>
    <d v="2021-10-02T00:00:00"/>
    <s v="P0014"/>
    <n v="15"/>
    <x v="1"/>
    <x v="0"/>
    <n v="0"/>
    <x v="13"/>
    <x v="1"/>
    <x v="0"/>
    <n v="112"/>
    <n v="146.72"/>
    <n v="1680"/>
    <n v="2200.8000000000002"/>
    <x v="15"/>
    <x v="5"/>
    <x v="0"/>
  </r>
  <r>
    <d v="2021-11-21T00:00:00"/>
    <s v="P0014"/>
    <n v="1"/>
    <x v="2"/>
    <x v="0"/>
    <n v="0"/>
    <x v="13"/>
    <x v="1"/>
    <x v="0"/>
    <n v="112"/>
    <n v="146.72"/>
    <n v="112"/>
    <n v="146.72"/>
    <x v="19"/>
    <x v="10"/>
    <x v="0"/>
  </r>
  <r>
    <d v="2022-01-16T00:00:00"/>
    <s v="P0014"/>
    <n v="11"/>
    <x v="0"/>
    <x v="1"/>
    <n v="0"/>
    <x v="13"/>
    <x v="1"/>
    <x v="0"/>
    <n v="112"/>
    <n v="146.72"/>
    <n v="1232"/>
    <n v="1613.92"/>
    <x v="21"/>
    <x v="0"/>
    <x v="1"/>
  </r>
  <r>
    <d v="2022-01-20T00:00:00"/>
    <s v="P0014"/>
    <n v="7"/>
    <x v="0"/>
    <x v="0"/>
    <n v="0"/>
    <x v="13"/>
    <x v="1"/>
    <x v="0"/>
    <n v="112"/>
    <n v="146.72"/>
    <n v="784"/>
    <n v="1027.04"/>
    <x v="10"/>
    <x v="0"/>
    <x v="1"/>
  </r>
  <r>
    <d v="2022-02-03T00:00:00"/>
    <s v="P0014"/>
    <n v="8"/>
    <x v="1"/>
    <x v="0"/>
    <n v="0"/>
    <x v="13"/>
    <x v="1"/>
    <x v="0"/>
    <n v="112"/>
    <n v="146.72"/>
    <n v="896"/>
    <n v="1173.76"/>
    <x v="20"/>
    <x v="6"/>
    <x v="1"/>
  </r>
  <r>
    <d v="2022-04-28T00:00:00"/>
    <s v="P0014"/>
    <n v="14"/>
    <x v="1"/>
    <x v="1"/>
    <n v="0"/>
    <x v="13"/>
    <x v="1"/>
    <x v="0"/>
    <n v="112"/>
    <n v="146.72"/>
    <n v="1568"/>
    <n v="2054.08"/>
    <x v="24"/>
    <x v="8"/>
    <x v="1"/>
  </r>
  <r>
    <d v="2022-12-11T00:00:00"/>
    <s v="P0014"/>
    <n v="10"/>
    <x v="0"/>
    <x v="1"/>
    <n v="0"/>
    <x v="13"/>
    <x v="1"/>
    <x v="0"/>
    <n v="112"/>
    <n v="146.72"/>
    <n v="1120"/>
    <n v="1467.2"/>
    <x v="5"/>
    <x v="11"/>
    <x v="1"/>
  </r>
  <r>
    <d v="2021-02-18T00:00:00"/>
    <s v="P0015"/>
    <n v="6"/>
    <x v="0"/>
    <x v="1"/>
    <n v="0"/>
    <x v="14"/>
    <x v="1"/>
    <x v="3"/>
    <n v="12"/>
    <n v="15.719999999999999"/>
    <n v="72"/>
    <n v="94.32"/>
    <x v="22"/>
    <x v="6"/>
    <x v="0"/>
  </r>
  <r>
    <d v="2021-05-04T00:00:00"/>
    <s v="P0015"/>
    <n v="13"/>
    <x v="0"/>
    <x v="0"/>
    <n v="0"/>
    <x v="14"/>
    <x v="1"/>
    <x v="3"/>
    <n v="12"/>
    <n v="15.719999999999999"/>
    <n v="156"/>
    <n v="204.35999999999999"/>
    <x v="16"/>
    <x v="9"/>
    <x v="0"/>
  </r>
  <r>
    <d v="2021-06-16T00:00:00"/>
    <s v="P0015"/>
    <n v="12"/>
    <x v="0"/>
    <x v="1"/>
    <n v="0"/>
    <x v="14"/>
    <x v="1"/>
    <x v="3"/>
    <n v="12"/>
    <n v="15.719999999999999"/>
    <n v="144"/>
    <n v="188.64"/>
    <x v="21"/>
    <x v="2"/>
    <x v="0"/>
  </r>
  <r>
    <d v="2022-01-02T00:00:00"/>
    <s v="P0015"/>
    <n v="2"/>
    <x v="0"/>
    <x v="1"/>
    <n v="0"/>
    <x v="14"/>
    <x v="1"/>
    <x v="3"/>
    <n v="12"/>
    <n v="15.719999999999999"/>
    <n v="24"/>
    <n v="31.439999999999998"/>
    <x v="15"/>
    <x v="0"/>
    <x v="1"/>
  </r>
  <r>
    <d v="2022-05-07T00:00:00"/>
    <s v="P0015"/>
    <n v="4"/>
    <x v="0"/>
    <x v="1"/>
    <n v="0"/>
    <x v="14"/>
    <x v="1"/>
    <x v="3"/>
    <n v="12"/>
    <n v="15.719999999999999"/>
    <n v="48"/>
    <n v="62.879999999999995"/>
    <x v="23"/>
    <x v="9"/>
    <x v="1"/>
  </r>
  <r>
    <d v="2022-05-22T00:00:00"/>
    <s v="P0015"/>
    <n v="12"/>
    <x v="1"/>
    <x v="0"/>
    <n v="0"/>
    <x v="14"/>
    <x v="1"/>
    <x v="3"/>
    <n v="12"/>
    <n v="15.719999999999999"/>
    <n v="144"/>
    <n v="188.64"/>
    <x v="7"/>
    <x v="9"/>
    <x v="1"/>
  </r>
  <r>
    <d v="2022-07-05T00:00:00"/>
    <s v="P0015"/>
    <n v="8"/>
    <x v="1"/>
    <x v="0"/>
    <n v="0"/>
    <x v="14"/>
    <x v="1"/>
    <x v="3"/>
    <n v="12"/>
    <n v="15.719999999999999"/>
    <n v="96"/>
    <n v="125.75999999999999"/>
    <x v="11"/>
    <x v="7"/>
    <x v="1"/>
  </r>
  <r>
    <d v="2022-08-15T00:00:00"/>
    <s v="P0015"/>
    <n v="7"/>
    <x v="1"/>
    <x v="0"/>
    <n v="0"/>
    <x v="14"/>
    <x v="1"/>
    <x v="3"/>
    <n v="12"/>
    <n v="15.719999999999999"/>
    <n v="84"/>
    <n v="110.03999999999999"/>
    <x v="26"/>
    <x v="3"/>
    <x v="1"/>
  </r>
  <r>
    <d v="2022-08-31T00:00:00"/>
    <s v="P0015"/>
    <n v="13"/>
    <x v="1"/>
    <x v="1"/>
    <n v="0"/>
    <x v="14"/>
    <x v="1"/>
    <x v="3"/>
    <n v="12"/>
    <n v="15.719999999999999"/>
    <n v="156"/>
    <n v="204.35999999999999"/>
    <x v="3"/>
    <x v="3"/>
    <x v="1"/>
  </r>
  <r>
    <d v="2022-10-15T00:00:00"/>
    <s v="P0015"/>
    <n v="10"/>
    <x v="1"/>
    <x v="1"/>
    <n v="0"/>
    <x v="14"/>
    <x v="1"/>
    <x v="3"/>
    <n v="12"/>
    <n v="15.719999999999999"/>
    <n v="120"/>
    <n v="157.19999999999999"/>
    <x v="26"/>
    <x v="5"/>
    <x v="1"/>
  </r>
  <r>
    <d v="2022-11-02T00:00:00"/>
    <s v="P0015"/>
    <n v="15"/>
    <x v="2"/>
    <x v="1"/>
    <n v="0"/>
    <x v="14"/>
    <x v="1"/>
    <x v="3"/>
    <n v="12"/>
    <n v="15.719999999999999"/>
    <n v="180"/>
    <n v="235.79999999999998"/>
    <x v="15"/>
    <x v="10"/>
    <x v="1"/>
  </r>
  <r>
    <d v="2022-11-06T00:00:00"/>
    <s v="P0015"/>
    <n v="13"/>
    <x v="0"/>
    <x v="0"/>
    <n v="0"/>
    <x v="14"/>
    <x v="1"/>
    <x v="3"/>
    <n v="12"/>
    <n v="15.719999999999999"/>
    <n v="156"/>
    <n v="204.35999999999999"/>
    <x v="13"/>
    <x v="10"/>
    <x v="1"/>
  </r>
  <r>
    <d v="2022-11-30T00:00:00"/>
    <s v="P0015"/>
    <n v="2"/>
    <x v="1"/>
    <x v="0"/>
    <n v="0"/>
    <x v="14"/>
    <x v="1"/>
    <x v="3"/>
    <n v="12"/>
    <n v="15.719999999999999"/>
    <n v="24"/>
    <n v="31.439999999999998"/>
    <x v="9"/>
    <x v="10"/>
    <x v="1"/>
  </r>
  <r>
    <d v="2021-02-03T00:00:00"/>
    <s v="P0016"/>
    <n v="13"/>
    <x v="1"/>
    <x v="0"/>
    <n v="0"/>
    <x v="15"/>
    <x v="1"/>
    <x v="3"/>
    <n v="13"/>
    <n v="16.64"/>
    <n v="169"/>
    <n v="216.32"/>
    <x v="20"/>
    <x v="6"/>
    <x v="0"/>
  </r>
  <r>
    <d v="2021-05-09T00:00:00"/>
    <s v="P0016"/>
    <n v="6"/>
    <x v="0"/>
    <x v="0"/>
    <n v="0"/>
    <x v="15"/>
    <x v="1"/>
    <x v="3"/>
    <n v="13"/>
    <n v="16.64"/>
    <n v="78"/>
    <n v="99.84"/>
    <x v="1"/>
    <x v="9"/>
    <x v="0"/>
  </r>
  <r>
    <d v="2021-05-12T00:00:00"/>
    <s v="P0016"/>
    <n v="3"/>
    <x v="1"/>
    <x v="0"/>
    <n v="0"/>
    <x v="15"/>
    <x v="1"/>
    <x v="3"/>
    <n v="13"/>
    <n v="16.64"/>
    <n v="39"/>
    <n v="49.92"/>
    <x v="29"/>
    <x v="9"/>
    <x v="0"/>
  </r>
  <r>
    <d v="2021-06-20T00:00:00"/>
    <s v="P0016"/>
    <n v="1"/>
    <x v="2"/>
    <x v="1"/>
    <n v="0"/>
    <x v="15"/>
    <x v="1"/>
    <x v="3"/>
    <n v="13"/>
    <n v="16.64"/>
    <n v="13"/>
    <n v="16.64"/>
    <x v="10"/>
    <x v="2"/>
    <x v="0"/>
  </r>
  <r>
    <d v="2021-06-23T00:00:00"/>
    <s v="P0016"/>
    <n v="4"/>
    <x v="1"/>
    <x v="0"/>
    <n v="0"/>
    <x v="15"/>
    <x v="1"/>
    <x v="3"/>
    <n v="13"/>
    <n v="16.64"/>
    <n v="52"/>
    <n v="66.56"/>
    <x v="12"/>
    <x v="2"/>
    <x v="0"/>
  </r>
  <r>
    <d v="2021-12-02T00:00:00"/>
    <s v="P0016"/>
    <n v="10"/>
    <x v="1"/>
    <x v="1"/>
    <n v="0"/>
    <x v="15"/>
    <x v="1"/>
    <x v="3"/>
    <n v="13"/>
    <n v="16.64"/>
    <n v="130"/>
    <n v="166.4"/>
    <x v="15"/>
    <x v="11"/>
    <x v="0"/>
  </r>
  <r>
    <d v="2022-01-28T00:00:00"/>
    <s v="P0016"/>
    <n v="11"/>
    <x v="1"/>
    <x v="0"/>
    <n v="0"/>
    <x v="15"/>
    <x v="1"/>
    <x v="3"/>
    <n v="13"/>
    <n v="16.64"/>
    <n v="143"/>
    <n v="183.04000000000002"/>
    <x v="24"/>
    <x v="0"/>
    <x v="1"/>
  </r>
  <r>
    <d v="2022-02-23T00:00:00"/>
    <s v="P0016"/>
    <n v="15"/>
    <x v="0"/>
    <x v="1"/>
    <n v="0"/>
    <x v="15"/>
    <x v="1"/>
    <x v="3"/>
    <n v="13"/>
    <n v="16.64"/>
    <n v="195"/>
    <n v="249.60000000000002"/>
    <x v="12"/>
    <x v="6"/>
    <x v="1"/>
  </r>
  <r>
    <d v="2022-03-14T00:00:00"/>
    <s v="P0016"/>
    <n v="2"/>
    <x v="1"/>
    <x v="1"/>
    <n v="0"/>
    <x v="15"/>
    <x v="1"/>
    <x v="3"/>
    <n v="13"/>
    <n v="16.64"/>
    <n v="26"/>
    <n v="33.28"/>
    <x v="18"/>
    <x v="1"/>
    <x v="1"/>
  </r>
  <r>
    <d v="2022-04-13T00:00:00"/>
    <s v="P0016"/>
    <n v="14"/>
    <x v="2"/>
    <x v="0"/>
    <n v="0"/>
    <x v="15"/>
    <x v="1"/>
    <x v="3"/>
    <n v="13"/>
    <n v="16.64"/>
    <n v="182"/>
    <n v="232.96"/>
    <x v="17"/>
    <x v="8"/>
    <x v="1"/>
  </r>
  <r>
    <d v="2022-04-30T00:00:00"/>
    <s v="P0016"/>
    <n v="13"/>
    <x v="0"/>
    <x v="0"/>
    <n v="0"/>
    <x v="15"/>
    <x v="1"/>
    <x v="3"/>
    <n v="13"/>
    <n v="16.64"/>
    <n v="169"/>
    <n v="216.32"/>
    <x v="9"/>
    <x v="8"/>
    <x v="1"/>
  </r>
  <r>
    <d v="2022-08-06T00:00:00"/>
    <s v="P0016"/>
    <n v="9"/>
    <x v="0"/>
    <x v="0"/>
    <n v="0"/>
    <x v="15"/>
    <x v="1"/>
    <x v="3"/>
    <n v="13"/>
    <n v="16.64"/>
    <n v="117"/>
    <n v="149.76"/>
    <x v="13"/>
    <x v="3"/>
    <x v="1"/>
  </r>
  <r>
    <d v="2022-08-08T00:00:00"/>
    <s v="P0016"/>
    <n v="2"/>
    <x v="1"/>
    <x v="0"/>
    <n v="0"/>
    <x v="15"/>
    <x v="1"/>
    <x v="3"/>
    <n v="13"/>
    <n v="16.64"/>
    <n v="26"/>
    <n v="33.28"/>
    <x v="25"/>
    <x v="3"/>
    <x v="1"/>
  </r>
  <r>
    <d v="2022-08-21T00:00:00"/>
    <s v="P0016"/>
    <n v="4"/>
    <x v="1"/>
    <x v="0"/>
    <n v="0"/>
    <x v="15"/>
    <x v="1"/>
    <x v="3"/>
    <n v="13"/>
    <n v="16.64"/>
    <n v="52"/>
    <n v="66.56"/>
    <x v="19"/>
    <x v="3"/>
    <x v="1"/>
  </r>
  <r>
    <d v="2022-12-07T00:00:00"/>
    <s v="P0016"/>
    <n v="13"/>
    <x v="1"/>
    <x v="0"/>
    <n v="0"/>
    <x v="15"/>
    <x v="1"/>
    <x v="3"/>
    <n v="13"/>
    <n v="16.64"/>
    <n v="169"/>
    <n v="216.32"/>
    <x v="23"/>
    <x v="11"/>
    <x v="1"/>
  </r>
  <r>
    <d v="2021-04-15T00:00:00"/>
    <s v="P0017"/>
    <n v="3"/>
    <x v="1"/>
    <x v="0"/>
    <n v="0"/>
    <x v="16"/>
    <x v="1"/>
    <x v="2"/>
    <n v="134"/>
    <n v="156.78"/>
    <n v="402"/>
    <n v="470.34000000000003"/>
    <x v="26"/>
    <x v="8"/>
    <x v="0"/>
  </r>
  <r>
    <d v="2022-01-25T00:00:00"/>
    <s v="P0017"/>
    <n v="14"/>
    <x v="1"/>
    <x v="1"/>
    <n v="0"/>
    <x v="16"/>
    <x v="1"/>
    <x v="2"/>
    <n v="134"/>
    <n v="156.78"/>
    <n v="1876"/>
    <n v="2194.92"/>
    <x v="8"/>
    <x v="0"/>
    <x v="1"/>
  </r>
  <r>
    <d v="2022-05-09T00:00:00"/>
    <s v="P0017"/>
    <n v="12"/>
    <x v="2"/>
    <x v="1"/>
    <n v="0"/>
    <x v="16"/>
    <x v="1"/>
    <x v="2"/>
    <n v="134"/>
    <n v="156.78"/>
    <n v="1608"/>
    <n v="1881.3600000000001"/>
    <x v="1"/>
    <x v="9"/>
    <x v="1"/>
  </r>
  <r>
    <d v="2022-06-21T00:00:00"/>
    <s v="P0017"/>
    <n v="14"/>
    <x v="1"/>
    <x v="1"/>
    <n v="0"/>
    <x v="16"/>
    <x v="1"/>
    <x v="2"/>
    <n v="134"/>
    <n v="156.78"/>
    <n v="1876"/>
    <n v="2194.92"/>
    <x v="19"/>
    <x v="2"/>
    <x v="1"/>
  </r>
  <r>
    <d v="2022-07-25T00:00:00"/>
    <s v="P0017"/>
    <n v="12"/>
    <x v="1"/>
    <x v="1"/>
    <n v="0"/>
    <x v="16"/>
    <x v="1"/>
    <x v="2"/>
    <n v="134"/>
    <n v="156.78"/>
    <n v="1608"/>
    <n v="1881.3600000000001"/>
    <x v="8"/>
    <x v="7"/>
    <x v="1"/>
  </r>
  <r>
    <d v="2022-11-16T00:00:00"/>
    <s v="P0017"/>
    <n v="8"/>
    <x v="0"/>
    <x v="0"/>
    <n v="0"/>
    <x v="16"/>
    <x v="1"/>
    <x v="2"/>
    <n v="134"/>
    <n v="156.78"/>
    <n v="1072"/>
    <n v="1254.24"/>
    <x v="21"/>
    <x v="10"/>
    <x v="1"/>
  </r>
  <r>
    <d v="2021-02-27T00:00:00"/>
    <s v="P0018"/>
    <n v="11"/>
    <x v="2"/>
    <x v="0"/>
    <n v="0"/>
    <x v="17"/>
    <x v="1"/>
    <x v="3"/>
    <n v="37"/>
    <n v="49.21"/>
    <n v="407"/>
    <n v="541.31000000000006"/>
    <x v="27"/>
    <x v="6"/>
    <x v="0"/>
  </r>
  <r>
    <d v="2021-04-16T00:00:00"/>
    <s v="P0018"/>
    <n v="15"/>
    <x v="1"/>
    <x v="1"/>
    <n v="0"/>
    <x v="17"/>
    <x v="1"/>
    <x v="3"/>
    <n v="37"/>
    <n v="49.21"/>
    <n v="555"/>
    <n v="738.15"/>
    <x v="21"/>
    <x v="8"/>
    <x v="0"/>
  </r>
  <r>
    <d v="2021-05-01T00:00:00"/>
    <s v="P0018"/>
    <n v="3"/>
    <x v="0"/>
    <x v="1"/>
    <n v="0"/>
    <x v="17"/>
    <x v="1"/>
    <x v="3"/>
    <n v="37"/>
    <n v="49.21"/>
    <n v="111"/>
    <n v="147.63"/>
    <x v="2"/>
    <x v="9"/>
    <x v="0"/>
  </r>
  <r>
    <d v="2021-05-07T00:00:00"/>
    <s v="P0018"/>
    <n v="1"/>
    <x v="1"/>
    <x v="1"/>
    <n v="0"/>
    <x v="17"/>
    <x v="1"/>
    <x v="3"/>
    <n v="37"/>
    <n v="49.21"/>
    <n v="37"/>
    <n v="49.21"/>
    <x v="23"/>
    <x v="9"/>
    <x v="0"/>
  </r>
  <r>
    <d v="2021-09-23T00:00:00"/>
    <s v="P0018"/>
    <n v="12"/>
    <x v="1"/>
    <x v="1"/>
    <n v="0"/>
    <x v="17"/>
    <x v="1"/>
    <x v="3"/>
    <n v="37"/>
    <n v="49.21"/>
    <n v="444"/>
    <n v="590.52"/>
    <x v="12"/>
    <x v="4"/>
    <x v="0"/>
  </r>
  <r>
    <d v="2022-02-05T00:00:00"/>
    <s v="P0018"/>
    <n v="6"/>
    <x v="1"/>
    <x v="1"/>
    <n v="0"/>
    <x v="17"/>
    <x v="1"/>
    <x v="3"/>
    <n v="37"/>
    <n v="49.21"/>
    <n v="222"/>
    <n v="295.26"/>
    <x v="11"/>
    <x v="6"/>
    <x v="1"/>
  </r>
  <r>
    <d v="2022-04-20T00:00:00"/>
    <s v="P0018"/>
    <n v="2"/>
    <x v="2"/>
    <x v="0"/>
    <n v="0"/>
    <x v="17"/>
    <x v="1"/>
    <x v="3"/>
    <n v="37"/>
    <n v="49.21"/>
    <n v="74"/>
    <n v="98.42"/>
    <x v="10"/>
    <x v="8"/>
    <x v="1"/>
  </r>
  <r>
    <d v="2022-06-24T00:00:00"/>
    <s v="P0018"/>
    <n v="7"/>
    <x v="1"/>
    <x v="1"/>
    <n v="0"/>
    <x v="17"/>
    <x v="1"/>
    <x v="3"/>
    <n v="37"/>
    <n v="49.21"/>
    <n v="259"/>
    <n v="344.47"/>
    <x v="28"/>
    <x v="2"/>
    <x v="1"/>
  </r>
  <r>
    <d v="2022-07-08T00:00:00"/>
    <s v="P0018"/>
    <n v="2"/>
    <x v="1"/>
    <x v="0"/>
    <n v="0"/>
    <x v="17"/>
    <x v="1"/>
    <x v="3"/>
    <n v="37"/>
    <n v="49.21"/>
    <n v="74"/>
    <n v="98.42"/>
    <x v="25"/>
    <x v="7"/>
    <x v="1"/>
  </r>
  <r>
    <d v="2022-07-23T00:00:00"/>
    <s v="P0018"/>
    <n v="2"/>
    <x v="0"/>
    <x v="0"/>
    <n v="0"/>
    <x v="17"/>
    <x v="1"/>
    <x v="3"/>
    <n v="37"/>
    <n v="49.21"/>
    <n v="74"/>
    <n v="98.42"/>
    <x v="12"/>
    <x v="7"/>
    <x v="1"/>
  </r>
  <r>
    <d v="2022-09-21T00:00:00"/>
    <s v="P0018"/>
    <n v="14"/>
    <x v="0"/>
    <x v="0"/>
    <n v="0"/>
    <x v="17"/>
    <x v="1"/>
    <x v="3"/>
    <n v="37"/>
    <n v="49.21"/>
    <n v="518"/>
    <n v="688.94"/>
    <x v="19"/>
    <x v="4"/>
    <x v="1"/>
  </r>
  <r>
    <d v="2022-11-10T00:00:00"/>
    <s v="P0018"/>
    <n v="7"/>
    <x v="1"/>
    <x v="0"/>
    <n v="0"/>
    <x v="17"/>
    <x v="1"/>
    <x v="3"/>
    <n v="37"/>
    <n v="49.21"/>
    <n v="259"/>
    <n v="344.47"/>
    <x v="4"/>
    <x v="10"/>
    <x v="1"/>
  </r>
  <r>
    <d v="2021-04-18T00:00:00"/>
    <s v="P0019"/>
    <n v="13"/>
    <x v="1"/>
    <x v="1"/>
    <n v="0"/>
    <x v="18"/>
    <x v="1"/>
    <x v="2"/>
    <n v="150"/>
    <n v="210"/>
    <n v="1950"/>
    <n v="2730"/>
    <x v="22"/>
    <x v="8"/>
    <x v="0"/>
  </r>
  <r>
    <d v="2021-06-16T00:00:00"/>
    <s v="P0019"/>
    <n v="5"/>
    <x v="2"/>
    <x v="1"/>
    <n v="0"/>
    <x v="18"/>
    <x v="1"/>
    <x v="2"/>
    <n v="150"/>
    <n v="210"/>
    <n v="750"/>
    <n v="1050"/>
    <x v="21"/>
    <x v="2"/>
    <x v="0"/>
  </r>
  <r>
    <d v="2021-07-13T00:00:00"/>
    <s v="P0019"/>
    <n v="1"/>
    <x v="1"/>
    <x v="1"/>
    <n v="0"/>
    <x v="18"/>
    <x v="1"/>
    <x v="2"/>
    <n v="150"/>
    <n v="210"/>
    <n v="150"/>
    <n v="210"/>
    <x v="17"/>
    <x v="7"/>
    <x v="0"/>
  </r>
  <r>
    <d v="2021-09-07T00:00:00"/>
    <s v="P0019"/>
    <n v="5"/>
    <x v="1"/>
    <x v="0"/>
    <n v="0"/>
    <x v="18"/>
    <x v="1"/>
    <x v="2"/>
    <n v="150"/>
    <n v="210"/>
    <n v="750"/>
    <n v="1050"/>
    <x v="23"/>
    <x v="4"/>
    <x v="0"/>
  </r>
  <r>
    <d v="2021-10-03T00:00:00"/>
    <s v="P0019"/>
    <n v="9"/>
    <x v="1"/>
    <x v="0"/>
    <n v="0"/>
    <x v="18"/>
    <x v="1"/>
    <x v="2"/>
    <n v="150"/>
    <n v="210"/>
    <n v="1350"/>
    <n v="1890"/>
    <x v="20"/>
    <x v="5"/>
    <x v="0"/>
  </r>
  <r>
    <d v="2021-12-03T00:00:00"/>
    <s v="P0019"/>
    <n v="8"/>
    <x v="0"/>
    <x v="0"/>
    <n v="0"/>
    <x v="18"/>
    <x v="1"/>
    <x v="2"/>
    <n v="150"/>
    <n v="210"/>
    <n v="1200"/>
    <n v="1680"/>
    <x v="20"/>
    <x v="11"/>
    <x v="0"/>
  </r>
  <r>
    <d v="2022-01-13T00:00:00"/>
    <s v="P0019"/>
    <n v="6"/>
    <x v="0"/>
    <x v="0"/>
    <n v="0"/>
    <x v="18"/>
    <x v="1"/>
    <x v="2"/>
    <n v="150"/>
    <n v="210"/>
    <n v="900"/>
    <n v="1260"/>
    <x v="17"/>
    <x v="0"/>
    <x v="1"/>
  </r>
  <r>
    <d v="2022-03-18T00:00:00"/>
    <s v="P0019"/>
    <n v="2"/>
    <x v="0"/>
    <x v="1"/>
    <n v="0"/>
    <x v="18"/>
    <x v="1"/>
    <x v="2"/>
    <n v="150"/>
    <n v="210"/>
    <n v="300"/>
    <n v="420"/>
    <x v="22"/>
    <x v="1"/>
    <x v="1"/>
  </r>
  <r>
    <d v="2022-08-26T00:00:00"/>
    <s v="P0019"/>
    <n v="13"/>
    <x v="2"/>
    <x v="1"/>
    <n v="0"/>
    <x v="18"/>
    <x v="1"/>
    <x v="2"/>
    <n v="150"/>
    <n v="210"/>
    <n v="1950"/>
    <n v="2730"/>
    <x v="0"/>
    <x v="3"/>
    <x v="1"/>
  </r>
  <r>
    <d v="2022-10-10T00:00:00"/>
    <s v="P0019"/>
    <n v="9"/>
    <x v="1"/>
    <x v="0"/>
    <n v="0"/>
    <x v="18"/>
    <x v="1"/>
    <x v="2"/>
    <n v="150"/>
    <n v="210"/>
    <n v="1350"/>
    <n v="1890"/>
    <x v="4"/>
    <x v="5"/>
    <x v="1"/>
  </r>
  <r>
    <d v="2022-11-05T00:00:00"/>
    <s v="P0019"/>
    <n v="15"/>
    <x v="1"/>
    <x v="1"/>
    <n v="0"/>
    <x v="18"/>
    <x v="1"/>
    <x v="2"/>
    <n v="150"/>
    <n v="210"/>
    <n v="2250"/>
    <n v="3150"/>
    <x v="11"/>
    <x v="10"/>
    <x v="1"/>
  </r>
  <r>
    <d v="2022-11-08T00:00:00"/>
    <s v="P0019"/>
    <n v="10"/>
    <x v="2"/>
    <x v="0"/>
    <n v="0"/>
    <x v="18"/>
    <x v="1"/>
    <x v="2"/>
    <n v="150"/>
    <n v="210"/>
    <n v="1500"/>
    <n v="2100"/>
    <x v="25"/>
    <x v="10"/>
    <x v="1"/>
  </r>
  <r>
    <d v="2021-01-20T00:00:00"/>
    <s v="P0020"/>
    <n v="4"/>
    <x v="1"/>
    <x v="1"/>
    <n v="0"/>
    <x v="19"/>
    <x v="2"/>
    <x v="1"/>
    <n v="61"/>
    <n v="76.25"/>
    <n v="244"/>
    <n v="305"/>
    <x v="10"/>
    <x v="0"/>
    <x v="0"/>
  </r>
  <r>
    <d v="2021-03-21T00:00:00"/>
    <s v="P0020"/>
    <n v="13"/>
    <x v="0"/>
    <x v="0"/>
    <n v="0"/>
    <x v="19"/>
    <x v="2"/>
    <x v="1"/>
    <n v="61"/>
    <n v="76.25"/>
    <n v="793"/>
    <n v="991.25"/>
    <x v="19"/>
    <x v="1"/>
    <x v="0"/>
  </r>
  <r>
    <d v="2021-06-04T00:00:00"/>
    <s v="P0020"/>
    <n v="8"/>
    <x v="2"/>
    <x v="0"/>
    <n v="0"/>
    <x v="19"/>
    <x v="2"/>
    <x v="1"/>
    <n v="61"/>
    <n v="76.25"/>
    <n v="488"/>
    <n v="610"/>
    <x v="16"/>
    <x v="2"/>
    <x v="0"/>
  </r>
  <r>
    <d v="2021-06-04T00:00:00"/>
    <s v="P0020"/>
    <n v="12"/>
    <x v="0"/>
    <x v="1"/>
    <n v="0"/>
    <x v="19"/>
    <x v="2"/>
    <x v="1"/>
    <n v="61"/>
    <n v="76.25"/>
    <n v="732"/>
    <n v="915"/>
    <x v="16"/>
    <x v="2"/>
    <x v="0"/>
  </r>
  <r>
    <d v="2021-08-20T00:00:00"/>
    <s v="P0020"/>
    <n v="15"/>
    <x v="1"/>
    <x v="1"/>
    <n v="0"/>
    <x v="19"/>
    <x v="2"/>
    <x v="1"/>
    <n v="61"/>
    <n v="76.25"/>
    <n v="915"/>
    <n v="1143.75"/>
    <x v="10"/>
    <x v="3"/>
    <x v="0"/>
  </r>
  <r>
    <d v="2021-09-21T00:00:00"/>
    <s v="P0020"/>
    <n v="7"/>
    <x v="2"/>
    <x v="1"/>
    <n v="0"/>
    <x v="19"/>
    <x v="2"/>
    <x v="1"/>
    <n v="61"/>
    <n v="76.25"/>
    <n v="427"/>
    <n v="533.75"/>
    <x v="19"/>
    <x v="4"/>
    <x v="0"/>
  </r>
  <r>
    <d v="2022-05-04T00:00:00"/>
    <s v="P0020"/>
    <n v="10"/>
    <x v="1"/>
    <x v="0"/>
    <n v="0"/>
    <x v="19"/>
    <x v="2"/>
    <x v="1"/>
    <n v="61"/>
    <n v="76.25"/>
    <n v="610"/>
    <n v="762.5"/>
    <x v="16"/>
    <x v="9"/>
    <x v="1"/>
  </r>
  <r>
    <d v="2022-05-15T00:00:00"/>
    <s v="P0020"/>
    <n v="5"/>
    <x v="0"/>
    <x v="0"/>
    <n v="0"/>
    <x v="19"/>
    <x v="2"/>
    <x v="1"/>
    <n v="61"/>
    <n v="76.25"/>
    <n v="305"/>
    <n v="381.25"/>
    <x v="26"/>
    <x v="9"/>
    <x v="1"/>
  </r>
  <r>
    <d v="2022-05-28T00:00:00"/>
    <s v="P0020"/>
    <n v="14"/>
    <x v="1"/>
    <x v="1"/>
    <n v="0"/>
    <x v="19"/>
    <x v="2"/>
    <x v="1"/>
    <n v="61"/>
    <n v="76.25"/>
    <n v="854"/>
    <n v="1067.5"/>
    <x v="24"/>
    <x v="9"/>
    <x v="1"/>
  </r>
  <r>
    <d v="2022-11-03T00:00:00"/>
    <s v="P0020"/>
    <n v="11"/>
    <x v="0"/>
    <x v="0"/>
    <n v="0"/>
    <x v="19"/>
    <x v="2"/>
    <x v="1"/>
    <n v="61"/>
    <n v="76.25"/>
    <n v="671"/>
    <n v="838.75"/>
    <x v="20"/>
    <x v="10"/>
    <x v="1"/>
  </r>
  <r>
    <d v="2022-11-21T00:00:00"/>
    <s v="P0020"/>
    <n v="6"/>
    <x v="1"/>
    <x v="1"/>
    <n v="0"/>
    <x v="19"/>
    <x v="2"/>
    <x v="1"/>
    <n v="61"/>
    <n v="76.25"/>
    <n v="366"/>
    <n v="457.5"/>
    <x v="19"/>
    <x v="10"/>
    <x v="1"/>
  </r>
  <r>
    <d v="2021-03-07T00:00:00"/>
    <s v="P0021"/>
    <n v="9"/>
    <x v="1"/>
    <x v="1"/>
    <n v="0"/>
    <x v="20"/>
    <x v="2"/>
    <x v="2"/>
    <n v="126"/>
    <n v="162.54"/>
    <n v="1134"/>
    <n v="1462.86"/>
    <x v="23"/>
    <x v="1"/>
    <x v="0"/>
  </r>
  <r>
    <d v="2021-06-03T00:00:00"/>
    <s v="P0021"/>
    <n v="10"/>
    <x v="1"/>
    <x v="1"/>
    <n v="0"/>
    <x v="20"/>
    <x v="2"/>
    <x v="2"/>
    <n v="126"/>
    <n v="162.54"/>
    <n v="1260"/>
    <n v="1625.3999999999999"/>
    <x v="20"/>
    <x v="2"/>
    <x v="0"/>
  </r>
  <r>
    <d v="2021-06-28T00:00:00"/>
    <s v="P0021"/>
    <n v="2"/>
    <x v="0"/>
    <x v="1"/>
    <n v="0"/>
    <x v="20"/>
    <x v="2"/>
    <x v="2"/>
    <n v="126"/>
    <n v="162.54"/>
    <n v="252"/>
    <n v="325.08"/>
    <x v="24"/>
    <x v="2"/>
    <x v="0"/>
  </r>
  <r>
    <d v="2021-09-23T00:00:00"/>
    <s v="P0021"/>
    <n v="7"/>
    <x v="0"/>
    <x v="0"/>
    <n v="0"/>
    <x v="20"/>
    <x v="2"/>
    <x v="2"/>
    <n v="126"/>
    <n v="162.54"/>
    <n v="882"/>
    <n v="1137.78"/>
    <x v="12"/>
    <x v="4"/>
    <x v="0"/>
  </r>
  <r>
    <d v="2021-10-18T00:00:00"/>
    <s v="P0021"/>
    <n v="13"/>
    <x v="0"/>
    <x v="1"/>
    <n v="0"/>
    <x v="20"/>
    <x v="2"/>
    <x v="2"/>
    <n v="126"/>
    <n v="162.54"/>
    <n v="1638"/>
    <n v="2113.02"/>
    <x v="22"/>
    <x v="5"/>
    <x v="0"/>
  </r>
  <r>
    <d v="2021-10-31T00:00:00"/>
    <s v="P0021"/>
    <n v="6"/>
    <x v="0"/>
    <x v="1"/>
    <n v="0"/>
    <x v="20"/>
    <x v="2"/>
    <x v="2"/>
    <n v="126"/>
    <n v="162.54"/>
    <n v="756"/>
    <n v="975.24"/>
    <x v="3"/>
    <x v="5"/>
    <x v="0"/>
  </r>
  <r>
    <d v="2022-01-20T00:00:00"/>
    <s v="P0021"/>
    <n v="2"/>
    <x v="1"/>
    <x v="1"/>
    <n v="0"/>
    <x v="20"/>
    <x v="2"/>
    <x v="2"/>
    <n v="126"/>
    <n v="162.54"/>
    <n v="252"/>
    <n v="325.08"/>
    <x v="10"/>
    <x v="0"/>
    <x v="1"/>
  </r>
  <r>
    <d v="2022-06-11T00:00:00"/>
    <s v="P0021"/>
    <n v="6"/>
    <x v="1"/>
    <x v="0"/>
    <n v="0"/>
    <x v="20"/>
    <x v="2"/>
    <x v="2"/>
    <n v="126"/>
    <n v="162.54"/>
    <n v="756"/>
    <n v="975.24"/>
    <x v="5"/>
    <x v="2"/>
    <x v="1"/>
  </r>
  <r>
    <d v="2022-08-08T00:00:00"/>
    <s v="P0021"/>
    <n v="11"/>
    <x v="1"/>
    <x v="1"/>
    <n v="0"/>
    <x v="20"/>
    <x v="2"/>
    <x v="2"/>
    <n v="126"/>
    <n v="162.54"/>
    <n v="1386"/>
    <n v="1787.9399999999998"/>
    <x v="25"/>
    <x v="3"/>
    <x v="1"/>
  </r>
  <r>
    <d v="2021-02-03T00:00:00"/>
    <s v="P0022"/>
    <n v="2"/>
    <x v="2"/>
    <x v="1"/>
    <n v="0"/>
    <x v="21"/>
    <x v="2"/>
    <x v="2"/>
    <n v="121"/>
    <n v="141.57"/>
    <n v="242"/>
    <n v="283.14"/>
    <x v="20"/>
    <x v="6"/>
    <x v="0"/>
  </r>
  <r>
    <d v="2021-04-10T00:00:00"/>
    <s v="P0022"/>
    <n v="14"/>
    <x v="1"/>
    <x v="0"/>
    <n v="0"/>
    <x v="21"/>
    <x v="2"/>
    <x v="2"/>
    <n v="121"/>
    <n v="141.57"/>
    <n v="1694"/>
    <n v="1981.98"/>
    <x v="4"/>
    <x v="8"/>
    <x v="0"/>
  </r>
  <r>
    <d v="2021-06-05T00:00:00"/>
    <s v="P0022"/>
    <n v="15"/>
    <x v="2"/>
    <x v="0"/>
    <n v="0"/>
    <x v="21"/>
    <x v="2"/>
    <x v="2"/>
    <n v="121"/>
    <n v="141.57"/>
    <n v="1815"/>
    <n v="2123.5499999999997"/>
    <x v="11"/>
    <x v="2"/>
    <x v="0"/>
  </r>
  <r>
    <d v="2021-08-03T00:00:00"/>
    <s v="P0022"/>
    <n v="13"/>
    <x v="0"/>
    <x v="0"/>
    <n v="0"/>
    <x v="21"/>
    <x v="2"/>
    <x v="2"/>
    <n v="121"/>
    <n v="141.57"/>
    <n v="1573"/>
    <n v="1840.4099999999999"/>
    <x v="20"/>
    <x v="3"/>
    <x v="0"/>
  </r>
  <r>
    <d v="2021-12-18T00:00:00"/>
    <s v="P0022"/>
    <n v="8"/>
    <x v="0"/>
    <x v="1"/>
    <n v="0"/>
    <x v="21"/>
    <x v="2"/>
    <x v="2"/>
    <n v="121"/>
    <n v="141.57"/>
    <n v="968"/>
    <n v="1132.56"/>
    <x v="22"/>
    <x v="11"/>
    <x v="0"/>
  </r>
  <r>
    <d v="2022-01-01T00:00:00"/>
    <s v="P0022"/>
    <n v="1"/>
    <x v="2"/>
    <x v="1"/>
    <n v="0"/>
    <x v="21"/>
    <x v="2"/>
    <x v="2"/>
    <n v="121"/>
    <n v="141.57"/>
    <n v="121"/>
    <n v="141.57"/>
    <x v="2"/>
    <x v="0"/>
    <x v="1"/>
  </r>
  <r>
    <d v="2022-01-15T00:00:00"/>
    <s v="P0022"/>
    <n v="10"/>
    <x v="1"/>
    <x v="1"/>
    <n v="0"/>
    <x v="21"/>
    <x v="2"/>
    <x v="2"/>
    <n v="121"/>
    <n v="141.57"/>
    <n v="1210"/>
    <n v="1415.6999999999998"/>
    <x v="26"/>
    <x v="0"/>
    <x v="1"/>
  </r>
  <r>
    <d v="2022-05-08T00:00:00"/>
    <s v="P0022"/>
    <n v="7"/>
    <x v="0"/>
    <x v="0"/>
    <n v="0"/>
    <x v="21"/>
    <x v="2"/>
    <x v="2"/>
    <n v="121"/>
    <n v="141.57"/>
    <n v="847"/>
    <n v="990.99"/>
    <x v="25"/>
    <x v="9"/>
    <x v="1"/>
  </r>
  <r>
    <d v="2021-01-18T00:00:00"/>
    <s v="P0023"/>
    <n v="3"/>
    <x v="0"/>
    <x v="1"/>
    <n v="0"/>
    <x v="22"/>
    <x v="2"/>
    <x v="2"/>
    <n v="141"/>
    <n v="149.46"/>
    <n v="423"/>
    <n v="448.38"/>
    <x v="22"/>
    <x v="0"/>
    <x v="0"/>
  </r>
  <r>
    <d v="2021-02-12T00:00:00"/>
    <s v="P0023"/>
    <n v="9"/>
    <x v="0"/>
    <x v="1"/>
    <n v="0"/>
    <x v="22"/>
    <x v="2"/>
    <x v="2"/>
    <n v="141"/>
    <n v="149.46"/>
    <n v="1269"/>
    <n v="1345.14"/>
    <x v="29"/>
    <x v="6"/>
    <x v="0"/>
  </r>
  <r>
    <d v="2021-05-30T00:00:00"/>
    <s v="P0023"/>
    <n v="13"/>
    <x v="0"/>
    <x v="0"/>
    <n v="0"/>
    <x v="22"/>
    <x v="2"/>
    <x v="2"/>
    <n v="141"/>
    <n v="149.46"/>
    <n v="1833"/>
    <n v="1942.98"/>
    <x v="9"/>
    <x v="9"/>
    <x v="0"/>
  </r>
  <r>
    <d v="2021-07-16T00:00:00"/>
    <s v="P0023"/>
    <n v="8"/>
    <x v="2"/>
    <x v="1"/>
    <n v="0"/>
    <x v="22"/>
    <x v="2"/>
    <x v="2"/>
    <n v="141"/>
    <n v="149.46"/>
    <n v="1128"/>
    <n v="1195.68"/>
    <x v="21"/>
    <x v="7"/>
    <x v="0"/>
  </r>
  <r>
    <d v="2021-08-02T00:00:00"/>
    <s v="P0023"/>
    <n v="3"/>
    <x v="1"/>
    <x v="0"/>
    <n v="0"/>
    <x v="22"/>
    <x v="2"/>
    <x v="2"/>
    <n v="141"/>
    <n v="149.46"/>
    <n v="423"/>
    <n v="448.38"/>
    <x v="15"/>
    <x v="3"/>
    <x v="0"/>
  </r>
  <r>
    <d v="2021-08-11T00:00:00"/>
    <s v="P0023"/>
    <n v="4"/>
    <x v="1"/>
    <x v="0"/>
    <n v="0"/>
    <x v="22"/>
    <x v="2"/>
    <x v="2"/>
    <n v="141"/>
    <n v="149.46"/>
    <n v="564"/>
    <n v="597.84"/>
    <x v="5"/>
    <x v="3"/>
    <x v="0"/>
  </r>
  <r>
    <d v="2021-09-04T00:00:00"/>
    <s v="P0023"/>
    <n v="15"/>
    <x v="1"/>
    <x v="0"/>
    <n v="0"/>
    <x v="22"/>
    <x v="2"/>
    <x v="2"/>
    <n v="141"/>
    <n v="149.46"/>
    <n v="2115"/>
    <n v="2241.9"/>
    <x v="16"/>
    <x v="4"/>
    <x v="0"/>
  </r>
  <r>
    <d v="2021-12-19T00:00:00"/>
    <s v="P0023"/>
    <n v="12"/>
    <x v="1"/>
    <x v="0"/>
    <n v="0"/>
    <x v="22"/>
    <x v="2"/>
    <x v="2"/>
    <n v="141"/>
    <n v="149.46"/>
    <n v="1692"/>
    <n v="1793.52"/>
    <x v="14"/>
    <x v="11"/>
    <x v="0"/>
  </r>
  <r>
    <d v="2022-01-31T00:00:00"/>
    <s v="P0023"/>
    <n v="6"/>
    <x v="0"/>
    <x v="1"/>
    <n v="0"/>
    <x v="22"/>
    <x v="2"/>
    <x v="2"/>
    <n v="141"/>
    <n v="149.46"/>
    <n v="846"/>
    <n v="896.76"/>
    <x v="3"/>
    <x v="0"/>
    <x v="1"/>
  </r>
  <r>
    <d v="2022-08-20T00:00:00"/>
    <s v="P0023"/>
    <n v="13"/>
    <x v="1"/>
    <x v="0"/>
    <n v="0"/>
    <x v="22"/>
    <x v="2"/>
    <x v="2"/>
    <n v="141"/>
    <n v="149.46"/>
    <n v="1833"/>
    <n v="1942.98"/>
    <x v="10"/>
    <x v="3"/>
    <x v="1"/>
  </r>
  <r>
    <d v="2021-01-01T00:00:00"/>
    <s v="P0024"/>
    <n v="9"/>
    <x v="2"/>
    <x v="0"/>
    <n v="0"/>
    <x v="23"/>
    <x v="2"/>
    <x v="2"/>
    <n v="144"/>
    <n v="156.96"/>
    <n v="1296"/>
    <n v="1412.64"/>
    <x v="2"/>
    <x v="0"/>
    <x v="0"/>
  </r>
  <r>
    <d v="2021-03-25T00:00:00"/>
    <s v="P0024"/>
    <n v="14"/>
    <x v="0"/>
    <x v="1"/>
    <n v="0"/>
    <x v="23"/>
    <x v="2"/>
    <x v="2"/>
    <n v="144"/>
    <n v="156.96"/>
    <n v="2016"/>
    <n v="2197.44"/>
    <x v="8"/>
    <x v="1"/>
    <x v="0"/>
  </r>
  <r>
    <d v="2021-07-22T00:00:00"/>
    <s v="P0024"/>
    <n v="14"/>
    <x v="0"/>
    <x v="1"/>
    <n v="0"/>
    <x v="23"/>
    <x v="2"/>
    <x v="2"/>
    <n v="144"/>
    <n v="156.96"/>
    <n v="2016"/>
    <n v="2197.44"/>
    <x v="7"/>
    <x v="7"/>
    <x v="0"/>
  </r>
  <r>
    <d v="2021-09-01T00:00:00"/>
    <s v="P0024"/>
    <n v="1"/>
    <x v="2"/>
    <x v="1"/>
    <n v="0"/>
    <x v="23"/>
    <x v="2"/>
    <x v="2"/>
    <n v="144"/>
    <n v="156.96"/>
    <n v="144"/>
    <n v="156.96"/>
    <x v="2"/>
    <x v="4"/>
    <x v="0"/>
  </r>
  <r>
    <d v="2021-10-22T00:00:00"/>
    <s v="P0024"/>
    <n v="13"/>
    <x v="0"/>
    <x v="1"/>
    <n v="0"/>
    <x v="23"/>
    <x v="2"/>
    <x v="2"/>
    <n v="144"/>
    <n v="156.96"/>
    <n v="1872"/>
    <n v="2040.48"/>
    <x v="7"/>
    <x v="5"/>
    <x v="0"/>
  </r>
  <r>
    <d v="2022-10-23T00:00:00"/>
    <s v="P0024"/>
    <n v="14"/>
    <x v="0"/>
    <x v="1"/>
    <n v="0"/>
    <x v="23"/>
    <x v="2"/>
    <x v="2"/>
    <n v="144"/>
    <n v="156.96"/>
    <n v="2016"/>
    <n v="2197.44"/>
    <x v="12"/>
    <x v="5"/>
    <x v="1"/>
  </r>
  <r>
    <d v="2021-01-09T00:00:00"/>
    <s v="P0025"/>
    <n v="4"/>
    <x v="1"/>
    <x v="0"/>
    <n v="0"/>
    <x v="24"/>
    <x v="2"/>
    <x v="3"/>
    <n v="7"/>
    <n v="8.33"/>
    <n v="28"/>
    <n v="33.32"/>
    <x v="1"/>
    <x v="0"/>
    <x v="0"/>
  </r>
  <r>
    <d v="2021-02-23T00:00:00"/>
    <s v="P0025"/>
    <n v="3"/>
    <x v="1"/>
    <x v="1"/>
    <n v="0"/>
    <x v="24"/>
    <x v="2"/>
    <x v="3"/>
    <n v="7"/>
    <n v="8.33"/>
    <n v="21"/>
    <n v="24.990000000000002"/>
    <x v="12"/>
    <x v="6"/>
    <x v="0"/>
  </r>
  <r>
    <d v="2021-03-11T00:00:00"/>
    <s v="P0025"/>
    <n v="11"/>
    <x v="1"/>
    <x v="1"/>
    <n v="0"/>
    <x v="24"/>
    <x v="2"/>
    <x v="3"/>
    <n v="7"/>
    <n v="8.33"/>
    <n v="77"/>
    <n v="91.63"/>
    <x v="5"/>
    <x v="1"/>
    <x v="0"/>
  </r>
  <r>
    <d v="2021-06-14T00:00:00"/>
    <s v="P0025"/>
    <n v="10"/>
    <x v="0"/>
    <x v="1"/>
    <n v="0"/>
    <x v="24"/>
    <x v="2"/>
    <x v="3"/>
    <n v="7"/>
    <n v="8.33"/>
    <n v="70"/>
    <n v="83.3"/>
    <x v="18"/>
    <x v="2"/>
    <x v="0"/>
  </r>
  <r>
    <d v="2021-06-18T00:00:00"/>
    <s v="P0025"/>
    <n v="13"/>
    <x v="1"/>
    <x v="1"/>
    <n v="0"/>
    <x v="24"/>
    <x v="2"/>
    <x v="3"/>
    <n v="7"/>
    <n v="8.33"/>
    <n v="91"/>
    <n v="108.29"/>
    <x v="22"/>
    <x v="2"/>
    <x v="0"/>
  </r>
  <r>
    <d v="2021-08-18T00:00:00"/>
    <s v="P0025"/>
    <n v="6"/>
    <x v="1"/>
    <x v="0"/>
    <n v="0"/>
    <x v="24"/>
    <x v="2"/>
    <x v="3"/>
    <n v="7"/>
    <n v="8.33"/>
    <n v="42"/>
    <n v="49.980000000000004"/>
    <x v="22"/>
    <x v="3"/>
    <x v="0"/>
  </r>
  <r>
    <d v="2021-10-18T00:00:00"/>
    <s v="P0025"/>
    <n v="6"/>
    <x v="0"/>
    <x v="1"/>
    <n v="0"/>
    <x v="24"/>
    <x v="2"/>
    <x v="3"/>
    <n v="7"/>
    <n v="8.33"/>
    <n v="42"/>
    <n v="49.980000000000004"/>
    <x v="22"/>
    <x v="5"/>
    <x v="0"/>
  </r>
  <r>
    <d v="2022-07-05T00:00:00"/>
    <s v="P0025"/>
    <n v="7"/>
    <x v="0"/>
    <x v="1"/>
    <n v="0"/>
    <x v="24"/>
    <x v="2"/>
    <x v="3"/>
    <n v="7"/>
    <n v="8.33"/>
    <n v="49"/>
    <n v="58.31"/>
    <x v="11"/>
    <x v="7"/>
    <x v="1"/>
  </r>
  <r>
    <d v="2022-07-13T00:00:00"/>
    <s v="P0025"/>
    <n v="7"/>
    <x v="1"/>
    <x v="0"/>
    <n v="0"/>
    <x v="24"/>
    <x v="2"/>
    <x v="3"/>
    <n v="7"/>
    <n v="8.33"/>
    <n v="49"/>
    <n v="58.31"/>
    <x v="17"/>
    <x v="7"/>
    <x v="1"/>
  </r>
  <r>
    <d v="2022-08-30T00:00:00"/>
    <s v="P0025"/>
    <n v="5"/>
    <x v="1"/>
    <x v="1"/>
    <n v="0"/>
    <x v="24"/>
    <x v="2"/>
    <x v="3"/>
    <n v="7"/>
    <n v="8.33"/>
    <n v="35"/>
    <n v="41.65"/>
    <x v="9"/>
    <x v="3"/>
    <x v="1"/>
  </r>
  <r>
    <d v="2021-07-22T00:00:00"/>
    <s v="P0026"/>
    <n v="3"/>
    <x v="2"/>
    <x v="1"/>
    <n v="0"/>
    <x v="25"/>
    <x v="3"/>
    <x v="3"/>
    <n v="18"/>
    <n v="24.66"/>
    <n v="54"/>
    <n v="73.98"/>
    <x v="7"/>
    <x v="7"/>
    <x v="0"/>
  </r>
  <r>
    <d v="2021-09-10T00:00:00"/>
    <s v="P0026"/>
    <n v="2"/>
    <x v="1"/>
    <x v="0"/>
    <n v="0"/>
    <x v="25"/>
    <x v="3"/>
    <x v="3"/>
    <n v="18"/>
    <n v="24.66"/>
    <n v="36"/>
    <n v="49.32"/>
    <x v="4"/>
    <x v="4"/>
    <x v="0"/>
  </r>
  <r>
    <d v="2021-10-07T00:00:00"/>
    <s v="P0026"/>
    <n v="6"/>
    <x v="1"/>
    <x v="1"/>
    <n v="0"/>
    <x v="25"/>
    <x v="3"/>
    <x v="3"/>
    <n v="18"/>
    <n v="24.66"/>
    <n v="108"/>
    <n v="147.96"/>
    <x v="23"/>
    <x v="5"/>
    <x v="0"/>
  </r>
  <r>
    <d v="2021-12-21T00:00:00"/>
    <s v="P0026"/>
    <n v="10"/>
    <x v="0"/>
    <x v="1"/>
    <n v="0"/>
    <x v="25"/>
    <x v="3"/>
    <x v="3"/>
    <n v="18"/>
    <n v="24.66"/>
    <n v="180"/>
    <n v="246.6"/>
    <x v="19"/>
    <x v="11"/>
    <x v="0"/>
  </r>
  <r>
    <d v="2022-02-14T00:00:00"/>
    <s v="P0026"/>
    <n v="8"/>
    <x v="0"/>
    <x v="1"/>
    <n v="0"/>
    <x v="25"/>
    <x v="3"/>
    <x v="3"/>
    <n v="18"/>
    <n v="24.66"/>
    <n v="144"/>
    <n v="197.28"/>
    <x v="18"/>
    <x v="6"/>
    <x v="1"/>
  </r>
  <r>
    <d v="2022-03-04T00:00:00"/>
    <s v="P0026"/>
    <n v="13"/>
    <x v="2"/>
    <x v="0"/>
    <n v="0"/>
    <x v="25"/>
    <x v="3"/>
    <x v="3"/>
    <n v="18"/>
    <n v="24.66"/>
    <n v="234"/>
    <n v="320.58"/>
    <x v="16"/>
    <x v="1"/>
    <x v="1"/>
  </r>
  <r>
    <d v="2022-03-14T00:00:00"/>
    <s v="P0026"/>
    <n v="13"/>
    <x v="1"/>
    <x v="0"/>
    <n v="0"/>
    <x v="25"/>
    <x v="3"/>
    <x v="3"/>
    <n v="18"/>
    <n v="24.66"/>
    <n v="234"/>
    <n v="320.58"/>
    <x v="18"/>
    <x v="1"/>
    <x v="1"/>
  </r>
  <r>
    <d v="2022-04-07T00:00:00"/>
    <s v="P0026"/>
    <n v="7"/>
    <x v="1"/>
    <x v="0"/>
    <n v="0"/>
    <x v="25"/>
    <x v="3"/>
    <x v="3"/>
    <n v="18"/>
    <n v="24.66"/>
    <n v="126"/>
    <n v="172.62"/>
    <x v="23"/>
    <x v="8"/>
    <x v="1"/>
  </r>
  <r>
    <d v="2022-04-21T00:00:00"/>
    <s v="P0026"/>
    <n v="14"/>
    <x v="0"/>
    <x v="0"/>
    <n v="0"/>
    <x v="25"/>
    <x v="3"/>
    <x v="3"/>
    <n v="18"/>
    <n v="24.66"/>
    <n v="252"/>
    <n v="345.24"/>
    <x v="19"/>
    <x v="8"/>
    <x v="1"/>
  </r>
  <r>
    <d v="2022-06-13T00:00:00"/>
    <s v="P0026"/>
    <n v="6"/>
    <x v="1"/>
    <x v="1"/>
    <n v="0"/>
    <x v="25"/>
    <x v="3"/>
    <x v="3"/>
    <n v="18"/>
    <n v="24.66"/>
    <n v="108"/>
    <n v="147.96"/>
    <x v="17"/>
    <x v="2"/>
    <x v="1"/>
  </r>
  <r>
    <d v="2022-07-26T00:00:00"/>
    <s v="P0026"/>
    <n v="1"/>
    <x v="0"/>
    <x v="1"/>
    <n v="0"/>
    <x v="25"/>
    <x v="3"/>
    <x v="3"/>
    <n v="18"/>
    <n v="24.66"/>
    <n v="18"/>
    <n v="24.66"/>
    <x v="0"/>
    <x v="7"/>
    <x v="1"/>
  </r>
  <r>
    <d v="2022-09-18T00:00:00"/>
    <s v="P0026"/>
    <n v="14"/>
    <x v="0"/>
    <x v="1"/>
    <n v="0"/>
    <x v="25"/>
    <x v="3"/>
    <x v="3"/>
    <n v="18"/>
    <n v="24.66"/>
    <n v="252"/>
    <n v="345.24"/>
    <x v="22"/>
    <x v="4"/>
    <x v="1"/>
  </r>
  <r>
    <d v="2022-09-21T00:00:00"/>
    <s v="P0026"/>
    <n v="5"/>
    <x v="1"/>
    <x v="1"/>
    <n v="0"/>
    <x v="25"/>
    <x v="3"/>
    <x v="3"/>
    <n v="18"/>
    <n v="24.66"/>
    <n v="90"/>
    <n v="123.3"/>
    <x v="19"/>
    <x v="4"/>
    <x v="1"/>
  </r>
  <r>
    <d v="2022-12-04T00:00:00"/>
    <s v="P0026"/>
    <n v="10"/>
    <x v="1"/>
    <x v="1"/>
    <n v="0"/>
    <x v="25"/>
    <x v="3"/>
    <x v="3"/>
    <n v="18"/>
    <n v="24.66"/>
    <n v="180"/>
    <n v="246.6"/>
    <x v="16"/>
    <x v="11"/>
    <x v="1"/>
  </r>
  <r>
    <d v="2021-02-15T00:00:00"/>
    <s v="P0027"/>
    <n v="4"/>
    <x v="1"/>
    <x v="0"/>
    <n v="0"/>
    <x v="26"/>
    <x v="3"/>
    <x v="1"/>
    <n v="48"/>
    <n v="57.120000000000005"/>
    <n v="192"/>
    <n v="228.48000000000002"/>
    <x v="26"/>
    <x v="6"/>
    <x v="0"/>
  </r>
  <r>
    <d v="2021-03-08T00:00:00"/>
    <s v="P0027"/>
    <n v="6"/>
    <x v="0"/>
    <x v="1"/>
    <n v="0"/>
    <x v="26"/>
    <x v="3"/>
    <x v="1"/>
    <n v="48"/>
    <n v="57.120000000000005"/>
    <n v="288"/>
    <n v="342.72"/>
    <x v="25"/>
    <x v="1"/>
    <x v="0"/>
  </r>
  <r>
    <d v="2021-04-12T00:00:00"/>
    <s v="P0027"/>
    <n v="9"/>
    <x v="1"/>
    <x v="0"/>
    <n v="0"/>
    <x v="26"/>
    <x v="3"/>
    <x v="1"/>
    <n v="48"/>
    <n v="57.120000000000005"/>
    <n v="432"/>
    <n v="514.08000000000004"/>
    <x v="29"/>
    <x v="8"/>
    <x v="0"/>
  </r>
  <r>
    <d v="2021-07-18T00:00:00"/>
    <s v="P0027"/>
    <n v="14"/>
    <x v="0"/>
    <x v="0"/>
    <n v="0"/>
    <x v="26"/>
    <x v="3"/>
    <x v="1"/>
    <n v="48"/>
    <n v="57.120000000000005"/>
    <n v="672"/>
    <n v="799.68000000000006"/>
    <x v="22"/>
    <x v="7"/>
    <x v="0"/>
  </r>
  <r>
    <d v="2021-08-13T00:00:00"/>
    <s v="P0027"/>
    <n v="9"/>
    <x v="1"/>
    <x v="0"/>
    <n v="0"/>
    <x v="26"/>
    <x v="3"/>
    <x v="1"/>
    <n v="48"/>
    <n v="57.120000000000005"/>
    <n v="432"/>
    <n v="514.08000000000004"/>
    <x v="17"/>
    <x v="3"/>
    <x v="0"/>
  </r>
  <r>
    <d v="2021-10-12T00:00:00"/>
    <s v="P0027"/>
    <n v="8"/>
    <x v="0"/>
    <x v="0"/>
    <n v="0"/>
    <x v="26"/>
    <x v="3"/>
    <x v="1"/>
    <n v="48"/>
    <n v="57.120000000000005"/>
    <n v="384"/>
    <n v="456.96000000000004"/>
    <x v="29"/>
    <x v="5"/>
    <x v="0"/>
  </r>
  <r>
    <d v="2022-03-18T00:00:00"/>
    <s v="P0027"/>
    <n v="10"/>
    <x v="1"/>
    <x v="1"/>
    <n v="0"/>
    <x v="26"/>
    <x v="3"/>
    <x v="1"/>
    <n v="48"/>
    <n v="57.120000000000005"/>
    <n v="480"/>
    <n v="571.20000000000005"/>
    <x v="22"/>
    <x v="1"/>
    <x v="1"/>
  </r>
  <r>
    <d v="2022-04-26T00:00:00"/>
    <s v="P0027"/>
    <n v="2"/>
    <x v="1"/>
    <x v="1"/>
    <n v="0"/>
    <x v="26"/>
    <x v="3"/>
    <x v="1"/>
    <n v="48"/>
    <n v="57.120000000000005"/>
    <n v="96"/>
    <n v="114.24000000000001"/>
    <x v="0"/>
    <x v="8"/>
    <x v="1"/>
  </r>
  <r>
    <d v="2022-04-30T00:00:00"/>
    <s v="P0027"/>
    <n v="8"/>
    <x v="1"/>
    <x v="0"/>
    <n v="0"/>
    <x v="26"/>
    <x v="3"/>
    <x v="1"/>
    <n v="48"/>
    <n v="57.120000000000005"/>
    <n v="384"/>
    <n v="456.96000000000004"/>
    <x v="9"/>
    <x v="8"/>
    <x v="1"/>
  </r>
  <r>
    <d v="2022-05-07T00:00:00"/>
    <s v="P0027"/>
    <n v="1"/>
    <x v="0"/>
    <x v="0"/>
    <n v="0"/>
    <x v="26"/>
    <x v="3"/>
    <x v="1"/>
    <n v="48"/>
    <n v="57.120000000000005"/>
    <n v="48"/>
    <n v="57.120000000000005"/>
    <x v="23"/>
    <x v="9"/>
    <x v="1"/>
  </r>
  <r>
    <d v="2022-05-17T00:00:00"/>
    <s v="P0027"/>
    <n v="8"/>
    <x v="1"/>
    <x v="1"/>
    <n v="0"/>
    <x v="26"/>
    <x v="3"/>
    <x v="1"/>
    <n v="48"/>
    <n v="57.120000000000005"/>
    <n v="384"/>
    <n v="456.96000000000004"/>
    <x v="6"/>
    <x v="9"/>
    <x v="1"/>
  </r>
  <r>
    <d v="2022-05-18T00:00:00"/>
    <s v="P0027"/>
    <n v="4"/>
    <x v="2"/>
    <x v="0"/>
    <n v="0"/>
    <x v="26"/>
    <x v="3"/>
    <x v="1"/>
    <n v="48"/>
    <n v="57.120000000000005"/>
    <n v="192"/>
    <n v="228.48000000000002"/>
    <x v="22"/>
    <x v="9"/>
    <x v="1"/>
  </r>
  <r>
    <d v="2022-05-26T00:00:00"/>
    <s v="P0027"/>
    <n v="2"/>
    <x v="0"/>
    <x v="0"/>
    <n v="0"/>
    <x v="26"/>
    <x v="3"/>
    <x v="1"/>
    <n v="48"/>
    <n v="57.120000000000005"/>
    <n v="96"/>
    <n v="114.24000000000001"/>
    <x v="0"/>
    <x v="9"/>
    <x v="1"/>
  </r>
  <r>
    <d v="2022-07-24T00:00:00"/>
    <s v="P0027"/>
    <n v="1"/>
    <x v="0"/>
    <x v="0"/>
    <n v="0"/>
    <x v="26"/>
    <x v="3"/>
    <x v="1"/>
    <n v="48"/>
    <n v="57.120000000000005"/>
    <n v="48"/>
    <n v="57.120000000000005"/>
    <x v="28"/>
    <x v="7"/>
    <x v="1"/>
  </r>
  <r>
    <d v="2022-11-09T00:00:00"/>
    <s v="P0027"/>
    <n v="8"/>
    <x v="0"/>
    <x v="1"/>
    <n v="0"/>
    <x v="26"/>
    <x v="3"/>
    <x v="1"/>
    <n v="48"/>
    <n v="57.120000000000005"/>
    <n v="384"/>
    <n v="456.96000000000004"/>
    <x v="1"/>
    <x v="10"/>
    <x v="1"/>
  </r>
  <r>
    <d v="2022-11-13T00:00:00"/>
    <s v="P0027"/>
    <n v="10"/>
    <x v="2"/>
    <x v="1"/>
    <n v="0"/>
    <x v="26"/>
    <x v="3"/>
    <x v="1"/>
    <n v="48"/>
    <n v="57.120000000000005"/>
    <n v="480"/>
    <n v="571.20000000000005"/>
    <x v="17"/>
    <x v="10"/>
    <x v="1"/>
  </r>
  <r>
    <d v="2022-12-11T00:00:00"/>
    <s v="P0027"/>
    <n v="5"/>
    <x v="1"/>
    <x v="0"/>
    <n v="0"/>
    <x v="26"/>
    <x v="3"/>
    <x v="1"/>
    <n v="48"/>
    <n v="57.120000000000005"/>
    <n v="240"/>
    <n v="285.60000000000002"/>
    <x v="5"/>
    <x v="11"/>
    <x v="1"/>
  </r>
  <r>
    <d v="2021-03-13T00:00:00"/>
    <s v="P0028"/>
    <n v="10"/>
    <x v="2"/>
    <x v="1"/>
    <n v="0"/>
    <x v="27"/>
    <x v="3"/>
    <x v="3"/>
    <n v="37"/>
    <n v="41.81"/>
    <n v="370"/>
    <n v="418.1"/>
    <x v="17"/>
    <x v="1"/>
    <x v="0"/>
  </r>
  <r>
    <d v="2021-03-19T00:00:00"/>
    <s v="P0028"/>
    <n v="9"/>
    <x v="0"/>
    <x v="1"/>
    <n v="0"/>
    <x v="27"/>
    <x v="3"/>
    <x v="3"/>
    <n v="37"/>
    <n v="41.81"/>
    <n v="333"/>
    <n v="376.29"/>
    <x v="14"/>
    <x v="1"/>
    <x v="0"/>
  </r>
  <r>
    <d v="2021-04-23T00:00:00"/>
    <s v="P0028"/>
    <n v="10"/>
    <x v="1"/>
    <x v="0"/>
    <n v="0"/>
    <x v="27"/>
    <x v="3"/>
    <x v="3"/>
    <n v="37"/>
    <n v="41.81"/>
    <n v="370"/>
    <n v="418.1"/>
    <x v="12"/>
    <x v="8"/>
    <x v="0"/>
  </r>
  <r>
    <d v="2021-05-09T00:00:00"/>
    <s v="P0028"/>
    <n v="8"/>
    <x v="1"/>
    <x v="1"/>
    <n v="0"/>
    <x v="27"/>
    <x v="3"/>
    <x v="3"/>
    <n v="37"/>
    <n v="41.81"/>
    <n v="296"/>
    <n v="334.48"/>
    <x v="1"/>
    <x v="9"/>
    <x v="0"/>
  </r>
  <r>
    <d v="2021-06-08T00:00:00"/>
    <s v="P0028"/>
    <n v="11"/>
    <x v="1"/>
    <x v="0"/>
    <n v="0"/>
    <x v="27"/>
    <x v="3"/>
    <x v="3"/>
    <n v="37"/>
    <n v="41.81"/>
    <n v="407"/>
    <n v="459.91"/>
    <x v="25"/>
    <x v="2"/>
    <x v="0"/>
  </r>
  <r>
    <d v="2021-08-05T00:00:00"/>
    <s v="P0028"/>
    <n v="14"/>
    <x v="1"/>
    <x v="1"/>
    <n v="0"/>
    <x v="27"/>
    <x v="3"/>
    <x v="3"/>
    <n v="37"/>
    <n v="41.81"/>
    <n v="518"/>
    <n v="585.34"/>
    <x v="11"/>
    <x v="3"/>
    <x v="0"/>
  </r>
  <r>
    <d v="2021-08-20T00:00:00"/>
    <s v="P0028"/>
    <n v="13"/>
    <x v="1"/>
    <x v="0"/>
    <n v="0"/>
    <x v="27"/>
    <x v="3"/>
    <x v="3"/>
    <n v="37"/>
    <n v="41.81"/>
    <n v="481"/>
    <n v="543.53"/>
    <x v="10"/>
    <x v="3"/>
    <x v="0"/>
  </r>
  <r>
    <d v="2021-09-04T00:00:00"/>
    <s v="P0028"/>
    <n v="7"/>
    <x v="1"/>
    <x v="0"/>
    <n v="0"/>
    <x v="27"/>
    <x v="3"/>
    <x v="3"/>
    <n v="37"/>
    <n v="41.81"/>
    <n v="259"/>
    <n v="292.67"/>
    <x v="16"/>
    <x v="4"/>
    <x v="0"/>
  </r>
  <r>
    <d v="2022-02-14T00:00:00"/>
    <s v="P0028"/>
    <n v="3"/>
    <x v="1"/>
    <x v="1"/>
    <n v="0"/>
    <x v="27"/>
    <x v="3"/>
    <x v="3"/>
    <n v="37"/>
    <n v="41.81"/>
    <n v="111"/>
    <n v="125.43"/>
    <x v="18"/>
    <x v="6"/>
    <x v="1"/>
  </r>
  <r>
    <d v="2022-05-26T00:00:00"/>
    <s v="P0028"/>
    <n v="2"/>
    <x v="1"/>
    <x v="0"/>
    <n v="0"/>
    <x v="27"/>
    <x v="3"/>
    <x v="3"/>
    <n v="37"/>
    <n v="41.81"/>
    <n v="74"/>
    <n v="83.62"/>
    <x v="0"/>
    <x v="9"/>
    <x v="1"/>
  </r>
  <r>
    <d v="2022-06-10T00:00:00"/>
    <s v="P0028"/>
    <n v="8"/>
    <x v="2"/>
    <x v="0"/>
    <n v="0"/>
    <x v="27"/>
    <x v="3"/>
    <x v="3"/>
    <n v="37"/>
    <n v="41.81"/>
    <n v="296"/>
    <n v="334.48"/>
    <x v="4"/>
    <x v="2"/>
    <x v="1"/>
  </r>
  <r>
    <d v="2022-07-12T00:00:00"/>
    <s v="P0028"/>
    <n v="12"/>
    <x v="1"/>
    <x v="1"/>
    <n v="0"/>
    <x v="27"/>
    <x v="3"/>
    <x v="3"/>
    <n v="37"/>
    <n v="41.81"/>
    <n v="444"/>
    <n v="501.72"/>
    <x v="29"/>
    <x v="7"/>
    <x v="1"/>
  </r>
  <r>
    <d v="2022-12-03T00:00:00"/>
    <s v="P0028"/>
    <n v="5"/>
    <x v="2"/>
    <x v="1"/>
    <n v="0"/>
    <x v="27"/>
    <x v="3"/>
    <x v="3"/>
    <n v="37"/>
    <n v="41.81"/>
    <n v="185"/>
    <n v="209.05"/>
    <x v="20"/>
    <x v="11"/>
    <x v="1"/>
  </r>
  <r>
    <d v="2021-01-28T00:00:00"/>
    <s v="P0029"/>
    <n v="2"/>
    <x v="1"/>
    <x v="1"/>
    <n v="0"/>
    <x v="28"/>
    <x v="3"/>
    <x v="1"/>
    <n v="47"/>
    <n v="53.11"/>
    <n v="94"/>
    <n v="106.22"/>
    <x v="24"/>
    <x v="0"/>
    <x v="0"/>
  </r>
  <r>
    <d v="2021-03-09T00:00:00"/>
    <s v="P0029"/>
    <n v="6"/>
    <x v="2"/>
    <x v="0"/>
    <n v="0"/>
    <x v="28"/>
    <x v="3"/>
    <x v="1"/>
    <n v="47"/>
    <n v="53.11"/>
    <n v="282"/>
    <n v="318.65999999999997"/>
    <x v="1"/>
    <x v="1"/>
    <x v="0"/>
  </r>
  <r>
    <d v="2021-03-25T00:00:00"/>
    <s v="P0029"/>
    <n v="8"/>
    <x v="1"/>
    <x v="1"/>
    <n v="0"/>
    <x v="28"/>
    <x v="3"/>
    <x v="1"/>
    <n v="47"/>
    <n v="53.11"/>
    <n v="376"/>
    <n v="424.88"/>
    <x v="8"/>
    <x v="1"/>
    <x v="0"/>
  </r>
  <r>
    <d v="2021-04-12T00:00:00"/>
    <s v="P0029"/>
    <n v="4"/>
    <x v="1"/>
    <x v="0"/>
    <n v="0"/>
    <x v="28"/>
    <x v="3"/>
    <x v="1"/>
    <n v="47"/>
    <n v="53.11"/>
    <n v="188"/>
    <n v="212.44"/>
    <x v="29"/>
    <x v="8"/>
    <x v="0"/>
  </r>
  <r>
    <d v="2021-04-30T00:00:00"/>
    <s v="P0029"/>
    <n v="1"/>
    <x v="1"/>
    <x v="0"/>
    <n v="0"/>
    <x v="28"/>
    <x v="3"/>
    <x v="1"/>
    <n v="47"/>
    <n v="53.11"/>
    <n v="47"/>
    <n v="53.11"/>
    <x v="9"/>
    <x v="8"/>
    <x v="0"/>
  </r>
  <r>
    <d v="2021-05-13T00:00:00"/>
    <s v="P0029"/>
    <n v="4"/>
    <x v="1"/>
    <x v="0"/>
    <n v="0"/>
    <x v="28"/>
    <x v="3"/>
    <x v="1"/>
    <n v="47"/>
    <n v="53.11"/>
    <n v="188"/>
    <n v="212.44"/>
    <x v="17"/>
    <x v="9"/>
    <x v="0"/>
  </r>
  <r>
    <d v="2021-07-21T00:00:00"/>
    <s v="P0029"/>
    <n v="15"/>
    <x v="1"/>
    <x v="0"/>
    <n v="0"/>
    <x v="28"/>
    <x v="3"/>
    <x v="1"/>
    <n v="47"/>
    <n v="53.11"/>
    <n v="705"/>
    <n v="796.65"/>
    <x v="19"/>
    <x v="7"/>
    <x v="0"/>
  </r>
  <r>
    <d v="2021-12-19T00:00:00"/>
    <s v="P0029"/>
    <n v="3"/>
    <x v="2"/>
    <x v="0"/>
    <n v="0"/>
    <x v="28"/>
    <x v="3"/>
    <x v="1"/>
    <n v="47"/>
    <n v="53.11"/>
    <n v="141"/>
    <n v="159.32999999999998"/>
    <x v="14"/>
    <x v="11"/>
    <x v="0"/>
  </r>
  <r>
    <d v="2021-12-27T00:00:00"/>
    <s v="P0029"/>
    <n v="14"/>
    <x v="1"/>
    <x v="1"/>
    <n v="0"/>
    <x v="28"/>
    <x v="3"/>
    <x v="1"/>
    <n v="47"/>
    <n v="53.11"/>
    <n v="658"/>
    <n v="743.54"/>
    <x v="27"/>
    <x v="11"/>
    <x v="0"/>
  </r>
  <r>
    <d v="2021-12-28T00:00:00"/>
    <s v="P0029"/>
    <n v="6"/>
    <x v="1"/>
    <x v="1"/>
    <n v="0"/>
    <x v="28"/>
    <x v="3"/>
    <x v="1"/>
    <n v="47"/>
    <n v="53.11"/>
    <n v="282"/>
    <n v="318.65999999999997"/>
    <x v="24"/>
    <x v="11"/>
    <x v="0"/>
  </r>
  <r>
    <d v="2022-01-04T00:00:00"/>
    <s v="P0029"/>
    <n v="1"/>
    <x v="0"/>
    <x v="0"/>
    <n v="0"/>
    <x v="28"/>
    <x v="3"/>
    <x v="1"/>
    <n v="47"/>
    <n v="53.11"/>
    <n v="47"/>
    <n v="53.11"/>
    <x v="16"/>
    <x v="0"/>
    <x v="1"/>
  </r>
  <r>
    <d v="2022-06-16T00:00:00"/>
    <s v="P0029"/>
    <n v="15"/>
    <x v="0"/>
    <x v="1"/>
    <n v="0"/>
    <x v="28"/>
    <x v="3"/>
    <x v="1"/>
    <n v="47"/>
    <n v="53.11"/>
    <n v="705"/>
    <n v="796.65"/>
    <x v="21"/>
    <x v="2"/>
    <x v="1"/>
  </r>
  <r>
    <d v="2022-08-18T00:00:00"/>
    <s v="P0029"/>
    <n v="8"/>
    <x v="0"/>
    <x v="0"/>
    <n v="0"/>
    <x v="28"/>
    <x v="3"/>
    <x v="1"/>
    <n v="47"/>
    <n v="53.11"/>
    <n v="376"/>
    <n v="424.88"/>
    <x v="22"/>
    <x v="3"/>
    <x v="1"/>
  </r>
  <r>
    <d v="2022-08-23T00:00:00"/>
    <s v="P0029"/>
    <n v="14"/>
    <x v="1"/>
    <x v="1"/>
    <n v="0"/>
    <x v="28"/>
    <x v="3"/>
    <x v="1"/>
    <n v="47"/>
    <n v="53.11"/>
    <n v="658"/>
    <n v="743.54"/>
    <x v="12"/>
    <x v="3"/>
    <x v="1"/>
  </r>
  <r>
    <d v="2022-09-14T00:00:00"/>
    <s v="P0029"/>
    <n v="3"/>
    <x v="1"/>
    <x v="1"/>
    <n v="0"/>
    <x v="28"/>
    <x v="3"/>
    <x v="1"/>
    <n v="47"/>
    <n v="53.11"/>
    <n v="141"/>
    <n v="159.32999999999998"/>
    <x v="18"/>
    <x v="4"/>
    <x v="1"/>
  </r>
  <r>
    <d v="2021-02-20T00:00:00"/>
    <s v="P0030"/>
    <n v="11"/>
    <x v="0"/>
    <x v="1"/>
    <n v="0"/>
    <x v="29"/>
    <x v="3"/>
    <x v="2"/>
    <n v="148"/>
    <n v="201.28"/>
    <n v="1628"/>
    <n v="2214.08"/>
    <x v="10"/>
    <x v="6"/>
    <x v="0"/>
  </r>
  <r>
    <d v="2021-02-25T00:00:00"/>
    <s v="P0030"/>
    <n v="2"/>
    <x v="1"/>
    <x v="0"/>
    <n v="0"/>
    <x v="29"/>
    <x v="3"/>
    <x v="2"/>
    <n v="148"/>
    <n v="201.28"/>
    <n v="296"/>
    <n v="402.56"/>
    <x v="8"/>
    <x v="6"/>
    <x v="0"/>
  </r>
  <r>
    <d v="2021-03-27T00:00:00"/>
    <s v="P0030"/>
    <n v="3"/>
    <x v="1"/>
    <x v="0"/>
    <n v="0"/>
    <x v="29"/>
    <x v="3"/>
    <x v="2"/>
    <n v="148"/>
    <n v="201.28"/>
    <n v="444"/>
    <n v="603.84"/>
    <x v="27"/>
    <x v="1"/>
    <x v="0"/>
  </r>
  <r>
    <d v="2021-04-24T00:00:00"/>
    <s v="P0030"/>
    <n v="2"/>
    <x v="0"/>
    <x v="0"/>
    <n v="0"/>
    <x v="29"/>
    <x v="3"/>
    <x v="2"/>
    <n v="148"/>
    <n v="201.28"/>
    <n v="296"/>
    <n v="402.56"/>
    <x v="28"/>
    <x v="8"/>
    <x v="0"/>
  </r>
  <r>
    <d v="2021-04-29T00:00:00"/>
    <s v="P0030"/>
    <n v="7"/>
    <x v="1"/>
    <x v="0"/>
    <n v="0"/>
    <x v="29"/>
    <x v="3"/>
    <x v="2"/>
    <n v="148"/>
    <n v="201.28"/>
    <n v="1036"/>
    <n v="1408.96"/>
    <x v="30"/>
    <x v="8"/>
    <x v="0"/>
  </r>
  <r>
    <d v="2021-09-10T00:00:00"/>
    <s v="P0030"/>
    <n v="6"/>
    <x v="1"/>
    <x v="0"/>
    <n v="0"/>
    <x v="29"/>
    <x v="3"/>
    <x v="2"/>
    <n v="148"/>
    <n v="201.28"/>
    <n v="888"/>
    <n v="1207.68"/>
    <x v="4"/>
    <x v="4"/>
    <x v="0"/>
  </r>
  <r>
    <d v="2021-10-01T00:00:00"/>
    <s v="P0030"/>
    <n v="14"/>
    <x v="0"/>
    <x v="1"/>
    <n v="0"/>
    <x v="29"/>
    <x v="3"/>
    <x v="2"/>
    <n v="148"/>
    <n v="201.28"/>
    <n v="2072"/>
    <n v="2817.92"/>
    <x v="2"/>
    <x v="5"/>
    <x v="0"/>
  </r>
  <r>
    <d v="2022-01-24T00:00:00"/>
    <s v="P0030"/>
    <n v="15"/>
    <x v="0"/>
    <x v="0"/>
    <n v="0"/>
    <x v="29"/>
    <x v="3"/>
    <x v="2"/>
    <n v="148"/>
    <n v="201.28"/>
    <n v="2220"/>
    <n v="3019.2"/>
    <x v="28"/>
    <x v="0"/>
    <x v="1"/>
  </r>
  <r>
    <d v="2022-03-09T00:00:00"/>
    <s v="P0030"/>
    <n v="3"/>
    <x v="1"/>
    <x v="0"/>
    <n v="0"/>
    <x v="29"/>
    <x v="3"/>
    <x v="2"/>
    <n v="148"/>
    <n v="201.28"/>
    <n v="444"/>
    <n v="603.84"/>
    <x v="1"/>
    <x v="1"/>
    <x v="1"/>
  </r>
  <r>
    <d v="2022-03-25T00:00:00"/>
    <s v="P0030"/>
    <n v="11"/>
    <x v="1"/>
    <x v="0"/>
    <n v="0"/>
    <x v="29"/>
    <x v="3"/>
    <x v="2"/>
    <n v="148"/>
    <n v="201.28"/>
    <n v="1628"/>
    <n v="2214.08"/>
    <x v="8"/>
    <x v="1"/>
    <x v="1"/>
  </r>
  <r>
    <d v="2022-04-21T00:00:00"/>
    <s v="P0030"/>
    <n v="2"/>
    <x v="1"/>
    <x v="1"/>
    <n v="0"/>
    <x v="29"/>
    <x v="3"/>
    <x v="2"/>
    <n v="148"/>
    <n v="201.28"/>
    <n v="296"/>
    <n v="402.56"/>
    <x v="19"/>
    <x v="8"/>
    <x v="1"/>
  </r>
  <r>
    <d v="2022-08-14T00:00:00"/>
    <s v="P0030"/>
    <n v="14"/>
    <x v="1"/>
    <x v="1"/>
    <n v="0"/>
    <x v="29"/>
    <x v="3"/>
    <x v="2"/>
    <n v="148"/>
    <n v="201.28"/>
    <n v="2072"/>
    <n v="2817.92"/>
    <x v="18"/>
    <x v="3"/>
    <x v="1"/>
  </r>
  <r>
    <d v="2022-11-02T00:00:00"/>
    <s v="P0030"/>
    <n v="15"/>
    <x v="1"/>
    <x v="1"/>
    <n v="0"/>
    <x v="29"/>
    <x v="3"/>
    <x v="2"/>
    <n v="148"/>
    <n v="201.28"/>
    <n v="2220"/>
    <n v="3019.2"/>
    <x v="15"/>
    <x v="10"/>
    <x v="1"/>
  </r>
  <r>
    <d v="2022-12-12T00:00:00"/>
    <s v="P0030"/>
    <n v="9"/>
    <x v="2"/>
    <x v="1"/>
    <n v="0"/>
    <x v="29"/>
    <x v="3"/>
    <x v="2"/>
    <n v="148"/>
    <n v="201.28"/>
    <n v="1332"/>
    <n v="1811.52"/>
    <x v="29"/>
    <x v="11"/>
    <x v="1"/>
  </r>
  <r>
    <d v="2021-01-09T00:00:00"/>
    <s v="P0031"/>
    <n v="1"/>
    <x v="1"/>
    <x v="1"/>
    <n v="0"/>
    <x v="30"/>
    <x v="3"/>
    <x v="0"/>
    <n v="93"/>
    <n v="104.16"/>
    <n v="93"/>
    <n v="104.16"/>
    <x v="1"/>
    <x v="0"/>
    <x v="0"/>
  </r>
  <r>
    <d v="2021-01-25T00:00:00"/>
    <s v="P0031"/>
    <n v="14"/>
    <x v="1"/>
    <x v="0"/>
    <n v="0"/>
    <x v="30"/>
    <x v="3"/>
    <x v="0"/>
    <n v="93"/>
    <n v="104.16"/>
    <n v="1302"/>
    <n v="1458.24"/>
    <x v="8"/>
    <x v="0"/>
    <x v="0"/>
  </r>
  <r>
    <d v="2021-04-05T00:00:00"/>
    <s v="P0031"/>
    <n v="15"/>
    <x v="0"/>
    <x v="0"/>
    <n v="0"/>
    <x v="30"/>
    <x v="3"/>
    <x v="0"/>
    <n v="93"/>
    <n v="104.16"/>
    <n v="1395"/>
    <n v="1562.3999999999999"/>
    <x v="11"/>
    <x v="8"/>
    <x v="0"/>
  </r>
  <r>
    <d v="2021-08-20T00:00:00"/>
    <s v="P0031"/>
    <n v="9"/>
    <x v="1"/>
    <x v="0"/>
    <n v="0"/>
    <x v="30"/>
    <x v="3"/>
    <x v="0"/>
    <n v="93"/>
    <n v="104.16"/>
    <n v="837"/>
    <n v="937.43999999999994"/>
    <x v="10"/>
    <x v="3"/>
    <x v="0"/>
  </r>
  <r>
    <d v="2022-05-16T00:00:00"/>
    <s v="P0031"/>
    <n v="13"/>
    <x v="0"/>
    <x v="0"/>
    <n v="0"/>
    <x v="30"/>
    <x v="3"/>
    <x v="0"/>
    <n v="93"/>
    <n v="104.16"/>
    <n v="1209"/>
    <n v="1354.08"/>
    <x v="21"/>
    <x v="9"/>
    <x v="1"/>
  </r>
  <r>
    <d v="2022-11-28T00:00:00"/>
    <s v="P0031"/>
    <n v="8"/>
    <x v="1"/>
    <x v="1"/>
    <n v="0"/>
    <x v="30"/>
    <x v="3"/>
    <x v="0"/>
    <n v="93"/>
    <n v="104.16"/>
    <n v="744"/>
    <n v="833.28"/>
    <x v="24"/>
    <x v="10"/>
    <x v="1"/>
  </r>
  <r>
    <d v="2021-01-27T00:00:00"/>
    <s v="P0032"/>
    <n v="3"/>
    <x v="2"/>
    <x v="0"/>
    <n v="0"/>
    <x v="15"/>
    <x v="3"/>
    <x v="0"/>
    <n v="89"/>
    <n v="117.48"/>
    <n v="267"/>
    <n v="352.44"/>
    <x v="27"/>
    <x v="0"/>
    <x v="0"/>
  </r>
  <r>
    <d v="2021-02-25T00:00:00"/>
    <s v="P0032"/>
    <n v="11"/>
    <x v="0"/>
    <x v="1"/>
    <n v="0"/>
    <x v="15"/>
    <x v="3"/>
    <x v="0"/>
    <n v="89"/>
    <n v="117.48"/>
    <n v="979"/>
    <n v="1292.28"/>
    <x v="8"/>
    <x v="6"/>
    <x v="0"/>
  </r>
  <r>
    <d v="2021-06-11T00:00:00"/>
    <s v="P0032"/>
    <n v="12"/>
    <x v="2"/>
    <x v="1"/>
    <n v="0"/>
    <x v="15"/>
    <x v="3"/>
    <x v="0"/>
    <n v="89"/>
    <n v="117.48"/>
    <n v="1068"/>
    <n v="1409.76"/>
    <x v="5"/>
    <x v="2"/>
    <x v="0"/>
  </r>
  <r>
    <d v="2021-09-05T00:00:00"/>
    <s v="P0032"/>
    <n v="1"/>
    <x v="1"/>
    <x v="1"/>
    <n v="0"/>
    <x v="15"/>
    <x v="3"/>
    <x v="0"/>
    <n v="89"/>
    <n v="117.48"/>
    <n v="89"/>
    <n v="117.48"/>
    <x v="11"/>
    <x v="4"/>
    <x v="0"/>
  </r>
  <r>
    <d v="2021-10-09T00:00:00"/>
    <s v="P0032"/>
    <n v="11"/>
    <x v="0"/>
    <x v="1"/>
    <n v="0"/>
    <x v="15"/>
    <x v="3"/>
    <x v="0"/>
    <n v="89"/>
    <n v="117.48"/>
    <n v="979"/>
    <n v="1292.28"/>
    <x v="1"/>
    <x v="5"/>
    <x v="0"/>
  </r>
  <r>
    <d v="2022-01-09T00:00:00"/>
    <s v="P0032"/>
    <n v="12"/>
    <x v="1"/>
    <x v="0"/>
    <n v="0"/>
    <x v="15"/>
    <x v="3"/>
    <x v="0"/>
    <n v="89"/>
    <n v="117.48"/>
    <n v="1068"/>
    <n v="1409.76"/>
    <x v="1"/>
    <x v="0"/>
    <x v="1"/>
  </r>
  <r>
    <d v="2022-01-11T00:00:00"/>
    <s v="P0032"/>
    <n v="2"/>
    <x v="1"/>
    <x v="0"/>
    <n v="0"/>
    <x v="15"/>
    <x v="3"/>
    <x v="0"/>
    <n v="89"/>
    <n v="117.48"/>
    <n v="178"/>
    <n v="234.96"/>
    <x v="5"/>
    <x v="0"/>
    <x v="1"/>
  </r>
  <r>
    <d v="2022-02-09T00:00:00"/>
    <s v="P0032"/>
    <n v="14"/>
    <x v="0"/>
    <x v="0"/>
    <n v="0"/>
    <x v="15"/>
    <x v="3"/>
    <x v="0"/>
    <n v="89"/>
    <n v="117.48"/>
    <n v="1246"/>
    <n v="1644.72"/>
    <x v="1"/>
    <x v="6"/>
    <x v="1"/>
  </r>
  <r>
    <d v="2022-02-16T00:00:00"/>
    <s v="P0032"/>
    <n v="1"/>
    <x v="0"/>
    <x v="1"/>
    <n v="0"/>
    <x v="15"/>
    <x v="3"/>
    <x v="0"/>
    <n v="89"/>
    <n v="117.48"/>
    <n v="89"/>
    <n v="117.48"/>
    <x v="21"/>
    <x v="6"/>
    <x v="1"/>
  </r>
  <r>
    <d v="2022-03-23T00:00:00"/>
    <s v="P0032"/>
    <n v="9"/>
    <x v="1"/>
    <x v="1"/>
    <n v="0"/>
    <x v="15"/>
    <x v="3"/>
    <x v="0"/>
    <n v="89"/>
    <n v="117.48"/>
    <n v="801"/>
    <n v="1057.32"/>
    <x v="12"/>
    <x v="1"/>
    <x v="1"/>
  </r>
  <r>
    <d v="2022-03-29T00:00:00"/>
    <s v="P0032"/>
    <n v="12"/>
    <x v="0"/>
    <x v="0"/>
    <n v="0"/>
    <x v="15"/>
    <x v="3"/>
    <x v="0"/>
    <n v="89"/>
    <n v="117.48"/>
    <n v="1068"/>
    <n v="1409.76"/>
    <x v="30"/>
    <x v="1"/>
    <x v="1"/>
  </r>
  <r>
    <d v="2022-07-10T00:00:00"/>
    <s v="P0032"/>
    <n v="12"/>
    <x v="0"/>
    <x v="1"/>
    <n v="0"/>
    <x v="15"/>
    <x v="3"/>
    <x v="0"/>
    <n v="89"/>
    <n v="117.48"/>
    <n v="1068"/>
    <n v="1409.76"/>
    <x v="4"/>
    <x v="7"/>
    <x v="1"/>
  </r>
  <r>
    <d v="2022-08-08T00:00:00"/>
    <s v="P0032"/>
    <n v="12"/>
    <x v="1"/>
    <x v="1"/>
    <n v="0"/>
    <x v="15"/>
    <x v="3"/>
    <x v="0"/>
    <n v="89"/>
    <n v="117.48"/>
    <n v="1068"/>
    <n v="1409.76"/>
    <x v="25"/>
    <x v="3"/>
    <x v="1"/>
  </r>
  <r>
    <d v="2022-09-24T00:00:00"/>
    <s v="P0032"/>
    <n v="14"/>
    <x v="1"/>
    <x v="0"/>
    <n v="0"/>
    <x v="15"/>
    <x v="3"/>
    <x v="0"/>
    <n v="89"/>
    <n v="117.48"/>
    <n v="1246"/>
    <n v="1644.72"/>
    <x v="28"/>
    <x v="4"/>
    <x v="1"/>
  </r>
  <r>
    <d v="2022-09-24T00:00:00"/>
    <s v="P0032"/>
    <n v="8"/>
    <x v="1"/>
    <x v="1"/>
    <n v="0"/>
    <x v="15"/>
    <x v="3"/>
    <x v="0"/>
    <n v="89"/>
    <n v="117.48"/>
    <n v="712"/>
    <n v="939.84"/>
    <x v="28"/>
    <x v="4"/>
    <x v="1"/>
  </r>
  <r>
    <d v="2022-11-26T00:00:00"/>
    <s v="P0032"/>
    <n v="5"/>
    <x v="1"/>
    <x v="0"/>
    <n v="0"/>
    <x v="15"/>
    <x v="3"/>
    <x v="0"/>
    <n v="89"/>
    <n v="117.48"/>
    <n v="445"/>
    <n v="587.4"/>
    <x v="0"/>
    <x v="10"/>
    <x v="1"/>
  </r>
  <r>
    <d v="2021-04-12T00:00:00"/>
    <s v="P0033"/>
    <n v="13"/>
    <x v="1"/>
    <x v="1"/>
    <n v="0"/>
    <x v="31"/>
    <x v="3"/>
    <x v="0"/>
    <n v="95"/>
    <n v="119.7"/>
    <n v="1235"/>
    <n v="1556.1000000000001"/>
    <x v="29"/>
    <x v="8"/>
    <x v="0"/>
  </r>
  <r>
    <d v="2021-06-06T00:00:00"/>
    <s v="P0033"/>
    <n v="6"/>
    <x v="1"/>
    <x v="0"/>
    <n v="0"/>
    <x v="31"/>
    <x v="3"/>
    <x v="0"/>
    <n v="95"/>
    <n v="119.7"/>
    <n v="570"/>
    <n v="718.2"/>
    <x v="13"/>
    <x v="2"/>
    <x v="0"/>
  </r>
  <r>
    <d v="2021-07-03T00:00:00"/>
    <s v="P0033"/>
    <n v="9"/>
    <x v="0"/>
    <x v="1"/>
    <n v="0"/>
    <x v="31"/>
    <x v="3"/>
    <x v="0"/>
    <n v="95"/>
    <n v="119.7"/>
    <n v="855"/>
    <n v="1077.3"/>
    <x v="20"/>
    <x v="7"/>
    <x v="0"/>
  </r>
  <r>
    <d v="2022-01-02T00:00:00"/>
    <s v="P0033"/>
    <n v="1"/>
    <x v="1"/>
    <x v="1"/>
    <n v="0"/>
    <x v="31"/>
    <x v="3"/>
    <x v="0"/>
    <n v="95"/>
    <n v="119.7"/>
    <n v="95"/>
    <n v="119.7"/>
    <x v="15"/>
    <x v="0"/>
    <x v="1"/>
  </r>
  <r>
    <d v="2022-03-10T00:00:00"/>
    <s v="P0033"/>
    <n v="12"/>
    <x v="2"/>
    <x v="0"/>
    <n v="0"/>
    <x v="31"/>
    <x v="3"/>
    <x v="0"/>
    <n v="95"/>
    <n v="119.7"/>
    <n v="1140"/>
    <n v="1436.4"/>
    <x v="4"/>
    <x v="1"/>
    <x v="1"/>
  </r>
  <r>
    <d v="2022-05-01T00:00:00"/>
    <s v="P0033"/>
    <n v="6"/>
    <x v="0"/>
    <x v="0"/>
    <n v="0"/>
    <x v="31"/>
    <x v="3"/>
    <x v="0"/>
    <n v="95"/>
    <n v="119.7"/>
    <n v="570"/>
    <n v="718.2"/>
    <x v="2"/>
    <x v="9"/>
    <x v="1"/>
  </r>
  <r>
    <d v="2022-05-30T00:00:00"/>
    <s v="P0033"/>
    <n v="3"/>
    <x v="0"/>
    <x v="1"/>
    <n v="0"/>
    <x v="31"/>
    <x v="3"/>
    <x v="0"/>
    <n v="95"/>
    <n v="119.7"/>
    <n v="285"/>
    <n v="359.1"/>
    <x v="9"/>
    <x v="9"/>
    <x v="1"/>
  </r>
  <r>
    <d v="2022-07-03T00:00:00"/>
    <s v="P0033"/>
    <n v="15"/>
    <x v="1"/>
    <x v="1"/>
    <n v="0"/>
    <x v="31"/>
    <x v="3"/>
    <x v="0"/>
    <n v="95"/>
    <n v="119.7"/>
    <n v="1425"/>
    <n v="1795.5"/>
    <x v="20"/>
    <x v="7"/>
    <x v="1"/>
  </r>
  <r>
    <d v="2022-07-14T00:00:00"/>
    <s v="P0033"/>
    <n v="9"/>
    <x v="1"/>
    <x v="0"/>
    <n v="0"/>
    <x v="31"/>
    <x v="3"/>
    <x v="0"/>
    <n v="95"/>
    <n v="119.7"/>
    <n v="855"/>
    <n v="1077.3"/>
    <x v="18"/>
    <x v="7"/>
    <x v="1"/>
  </r>
  <r>
    <d v="2022-08-20T00:00:00"/>
    <s v="P0033"/>
    <n v="14"/>
    <x v="1"/>
    <x v="0"/>
    <n v="0"/>
    <x v="31"/>
    <x v="3"/>
    <x v="0"/>
    <n v="95"/>
    <n v="119.7"/>
    <n v="1330"/>
    <n v="1675.8"/>
    <x v="10"/>
    <x v="3"/>
    <x v="1"/>
  </r>
  <r>
    <d v="2022-09-19T00:00:00"/>
    <s v="P0033"/>
    <n v="8"/>
    <x v="2"/>
    <x v="1"/>
    <n v="0"/>
    <x v="31"/>
    <x v="3"/>
    <x v="0"/>
    <n v="95"/>
    <n v="119.7"/>
    <n v="760"/>
    <n v="957.6"/>
    <x v="14"/>
    <x v="4"/>
    <x v="1"/>
  </r>
  <r>
    <d v="2022-09-20T00:00:00"/>
    <s v="P0033"/>
    <n v="6"/>
    <x v="1"/>
    <x v="0"/>
    <n v="0"/>
    <x v="31"/>
    <x v="3"/>
    <x v="0"/>
    <n v="95"/>
    <n v="119.7"/>
    <n v="570"/>
    <n v="718.2"/>
    <x v="10"/>
    <x v="4"/>
    <x v="1"/>
  </r>
  <r>
    <d v="2022-12-31T00:00:00"/>
    <s v="P0033"/>
    <n v="12"/>
    <x v="0"/>
    <x v="0"/>
    <n v="0"/>
    <x v="31"/>
    <x v="3"/>
    <x v="0"/>
    <n v="95"/>
    <n v="119.7"/>
    <n v="1140"/>
    <n v="1436.4"/>
    <x v="3"/>
    <x v="11"/>
    <x v="1"/>
  </r>
  <r>
    <d v="2021-01-20T00:00:00"/>
    <s v="P0034"/>
    <n v="4"/>
    <x v="1"/>
    <x v="1"/>
    <n v="0"/>
    <x v="32"/>
    <x v="3"/>
    <x v="1"/>
    <n v="55"/>
    <n v="58.3"/>
    <n v="220"/>
    <n v="233.2"/>
    <x v="10"/>
    <x v="0"/>
    <x v="0"/>
  </r>
  <r>
    <d v="2021-01-25T00:00:00"/>
    <s v="P0034"/>
    <n v="6"/>
    <x v="1"/>
    <x v="1"/>
    <n v="0"/>
    <x v="32"/>
    <x v="3"/>
    <x v="1"/>
    <n v="55"/>
    <n v="58.3"/>
    <n v="330"/>
    <n v="349.79999999999995"/>
    <x v="8"/>
    <x v="0"/>
    <x v="0"/>
  </r>
  <r>
    <d v="2021-02-09T00:00:00"/>
    <s v="P0034"/>
    <n v="14"/>
    <x v="1"/>
    <x v="0"/>
    <n v="0"/>
    <x v="32"/>
    <x v="3"/>
    <x v="1"/>
    <n v="55"/>
    <n v="58.3"/>
    <n v="770"/>
    <n v="816.19999999999993"/>
    <x v="1"/>
    <x v="6"/>
    <x v="0"/>
  </r>
  <r>
    <d v="2021-05-03T00:00:00"/>
    <s v="P0034"/>
    <n v="3"/>
    <x v="0"/>
    <x v="0"/>
    <n v="0"/>
    <x v="32"/>
    <x v="3"/>
    <x v="1"/>
    <n v="55"/>
    <n v="58.3"/>
    <n v="165"/>
    <n v="174.89999999999998"/>
    <x v="20"/>
    <x v="9"/>
    <x v="0"/>
  </r>
  <r>
    <d v="2021-07-10T00:00:00"/>
    <s v="P0034"/>
    <n v="6"/>
    <x v="2"/>
    <x v="1"/>
    <n v="0"/>
    <x v="32"/>
    <x v="3"/>
    <x v="1"/>
    <n v="55"/>
    <n v="58.3"/>
    <n v="330"/>
    <n v="349.79999999999995"/>
    <x v="4"/>
    <x v="7"/>
    <x v="0"/>
  </r>
  <r>
    <d v="2021-08-03T00:00:00"/>
    <s v="P0034"/>
    <n v="12"/>
    <x v="0"/>
    <x v="0"/>
    <n v="0"/>
    <x v="32"/>
    <x v="3"/>
    <x v="1"/>
    <n v="55"/>
    <n v="58.3"/>
    <n v="660"/>
    <n v="699.59999999999991"/>
    <x v="20"/>
    <x v="3"/>
    <x v="0"/>
  </r>
  <r>
    <d v="2021-08-29T00:00:00"/>
    <s v="P0034"/>
    <n v="12"/>
    <x v="2"/>
    <x v="0"/>
    <n v="0"/>
    <x v="32"/>
    <x v="3"/>
    <x v="1"/>
    <n v="55"/>
    <n v="58.3"/>
    <n v="660"/>
    <n v="699.59999999999991"/>
    <x v="30"/>
    <x v="3"/>
    <x v="0"/>
  </r>
  <r>
    <d v="2021-09-27T00:00:00"/>
    <s v="P0034"/>
    <n v="1"/>
    <x v="1"/>
    <x v="1"/>
    <n v="0"/>
    <x v="32"/>
    <x v="3"/>
    <x v="1"/>
    <n v="55"/>
    <n v="58.3"/>
    <n v="55"/>
    <n v="58.3"/>
    <x v="27"/>
    <x v="4"/>
    <x v="0"/>
  </r>
  <r>
    <d v="2021-11-20T00:00:00"/>
    <s v="P0034"/>
    <n v="14"/>
    <x v="0"/>
    <x v="0"/>
    <n v="0"/>
    <x v="32"/>
    <x v="3"/>
    <x v="1"/>
    <n v="55"/>
    <n v="58.3"/>
    <n v="770"/>
    <n v="816.19999999999993"/>
    <x v="10"/>
    <x v="10"/>
    <x v="0"/>
  </r>
  <r>
    <d v="2021-12-03T00:00:00"/>
    <s v="P0034"/>
    <n v="2"/>
    <x v="0"/>
    <x v="1"/>
    <n v="0"/>
    <x v="32"/>
    <x v="3"/>
    <x v="1"/>
    <n v="55"/>
    <n v="58.3"/>
    <n v="110"/>
    <n v="116.6"/>
    <x v="20"/>
    <x v="11"/>
    <x v="0"/>
  </r>
  <r>
    <d v="2022-01-10T00:00:00"/>
    <s v="P0034"/>
    <n v="14"/>
    <x v="0"/>
    <x v="0"/>
    <n v="0"/>
    <x v="32"/>
    <x v="3"/>
    <x v="1"/>
    <n v="55"/>
    <n v="58.3"/>
    <n v="770"/>
    <n v="816.19999999999993"/>
    <x v="4"/>
    <x v="0"/>
    <x v="1"/>
  </r>
  <r>
    <d v="2022-04-24T00:00:00"/>
    <s v="P0034"/>
    <n v="4"/>
    <x v="1"/>
    <x v="0"/>
    <n v="0"/>
    <x v="32"/>
    <x v="3"/>
    <x v="1"/>
    <n v="55"/>
    <n v="58.3"/>
    <n v="220"/>
    <n v="233.2"/>
    <x v="28"/>
    <x v="8"/>
    <x v="1"/>
  </r>
  <r>
    <d v="2022-05-01T00:00:00"/>
    <s v="P0034"/>
    <n v="9"/>
    <x v="2"/>
    <x v="0"/>
    <n v="0"/>
    <x v="32"/>
    <x v="3"/>
    <x v="1"/>
    <n v="55"/>
    <n v="58.3"/>
    <n v="495"/>
    <n v="524.69999999999993"/>
    <x v="2"/>
    <x v="9"/>
    <x v="1"/>
  </r>
  <r>
    <d v="2022-05-06T00:00:00"/>
    <s v="P0034"/>
    <n v="7"/>
    <x v="1"/>
    <x v="0"/>
    <n v="0"/>
    <x v="32"/>
    <x v="3"/>
    <x v="1"/>
    <n v="55"/>
    <n v="58.3"/>
    <n v="385"/>
    <n v="408.09999999999997"/>
    <x v="13"/>
    <x v="9"/>
    <x v="1"/>
  </r>
  <r>
    <d v="2022-06-26T00:00:00"/>
    <s v="P0034"/>
    <n v="4"/>
    <x v="1"/>
    <x v="1"/>
    <n v="0"/>
    <x v="32"/>
    <x v="3"/>
    <x v="1"/>
    <n v="55"/>
    <n v="58.3"/>
    <n v="220"/>
    <n v="233.2"/>
    <x v="0"/>
    <x v="2"/>
    <x v="1"/>
  </r>
  <r>
    <d v="2022-07-22T00:00:00"/>
    <s v="P0034"/>
    <n v="6"/>
    <x v="1"/>
    <x v="1"/>
    <n v="0"/>
    <x v="32"/>
    <x v="3"/>
    <x v="1"/>
    <n v="55"/>
    <n v="58.3"/>
    <n v="330"/>
    <n v="349.79999999999995"/>
    <x v="7"/>
    <x v="7"/>
    <x v="1"/>
  </r>
  <r>
    <d v="2022-09-29T00:00:00"/>
    <s v="P0034"/>
    <n v="13"/>
    <x v="1"/>
    <x v="0"/>
    <n v="0"/>
    <x v="32"/>
    <x v="3"/>
    <x v="1"/>
    <n v="55"/>
    <n v="58.3"/>
    <n v="715"/>
    <n v="757.9"/>
    <x v="30"/>
    <x v="4"/>
    <x v="1"/>
  </r>
  <r>
    <d v="2022-11-18T00:00:00"/>
    <s v="P0034"/>
    <n v="8"/>
    <x v="1"/>
    <x v="1"/>
    <n v="0"/>
    <x v="32"/>
    <x v="3"/>
    <x v="1"/>
    <n v="55"/>
    <n v="58.3"/>
    <n v="440"/>
    <n v="466.4"/>
    <x v="22"/>
    <x v="10"/>
    <x v="1"/>
  </r>
  <r>
    <d v="2022-11-27T00:00:00"/>
    <s v="P0034"/>
    <n v="15"/>
    <x v="1"/>
    <x v="0"/>
    <n v="0"/>
    <x v="32"/>
    <x v="3"/>
    <x v="1"/>
    <n v="55"/>
    <n v="58.3"/>
    <n v="825"/>
    <n v="874.5"/>
    <x v="27"/>
    <x v="10"/>
    <x v="1"/>
  </r>
  <r>
    <d v="2021-01-04T00:00:00"/>
    <s v="P0035"/>
    <n v="12"/>
    <x v="0"/>
    <x v="0"/>
    <n v="0"/>
    <x v="33"/>
    <x v="3"/>
    <x v="3"/>
    <n v="5"/>
    <n v="6.7"/>
    <n v="60"/>
    <n v="80.400000000000006"/>
    <x v="16"/>
    <x v="0"/>
    <x v="0"/>
  </r>
  <r>
    <d v="2021-01-19T00:00:00"/>
    <s v="P0035"/>
    <n v="6"/>
    <x v="1"/>
    <x v="1"/>
    <n v="0"/>
    <x v="33"/>
    <x v="3"/>
    <x v="3"/>
    <n v="5"/>
    <n v="6.7"/>
    <n v="30"/>
    <n v="40.200000000000003"/>
    <x v="14"/>
    <x v="0"/>
    <x v="0"/>
  </r>
  <r>
    <d v="2021-01-25T00:00:00"/>
    <s v="P0035"/>
    <n v="7"/>
    <x v="1"/>
    <x v="0"/>
    <n v="0"/>
    <x v="33"/>
    <x v="3"/>
    <x v="3"/>
    <n v="5"/>
    <n v="6.7"/>
    <n v="35"/>
    <n v="46.9"/>
    <x v="8"/>
    <x v="0"/>
    <x v="0"/>
  </r>
  <r>
    <d v="2021-02-06T00:00:00"/>
    <s v="P0035"/>
    <n v="1"/>
    <x v="1"/>
    <x v="1"/>
    <n v="0"/>
    <x v="33"/>
    <x v="3"/>
    <x v="3"/>
    <n v="5"/>
    <n v="6.7"/>
    <n v="5"/>
    <n v="6.7"/>
    <x v="13"/>
    <x v="6"/>
    <x v="0"/>
  </r>
  <r>
    <d v="2021-05-12T00:00:00"/>
    <s v="P0035"/>
    <n v="15"/>
    <x v="1"/>
    <x v="0"/>
    <n v="0"/>
    <x v="33"/>
    <x v="3"/>
    <x v="3"/>
    <n v="5"/>
    <n v="6.7"/>
    <n v="75"/>
    <n v="100.5"/>
    <x v="29"/>
    <x v="9"/>
    <x v="0"/>
  </r>
  <r>
    <d v="2021-06-05T00:00:00"/>
    <s v="P0035"/>
    <n v="10"/>
    <x v="1"/>
    <x v="0"/>
    <n v="0"/>
    <x v="33"/>
    <x v="3"/>
    <x v="3"/>
    <n v="5"/>
    <n v="6.7"/>
    <n v="50"/>
    <n v="67"/>
    <x v="11"/>
    <x v="2"/>
    <x v="0"/>
  </r>
  <r>
    <d v="2021-06-28T00:00:00"/>
    <s v="P0035"/>
    <n v="7"/>
    <x v="0"/>
    <x v="0"/>
    <n v="0"/>
    <x v="33"/>
    <x v="3"/>
    <x v="3"/>
    <n v="5"/>
    <n v="6.7"/>
    <n v="35"/>
    <n v="46.9"/>
    <x v="24"/>
    <x v="2"/>
    <x v="0"/>
  </r>
  <r>
    <d v="2021-08-31T00:00:00"/>
    <s v="P0035"/>
    <n v="11"/>
    <x v="1"/>
    <x v="0"/>
    <n v="0"/>
    <x v="33"/>
    <x v="3"/>
    <x v="3"/>
    <n v="5"/>
    <n v="6.7"/>
    <n v="55"/>
    <n v="73.7"/>
    <x v="3"/>
    <x v="3"/>
    <x v="0"/>
  </r>
  <r>
    <d v="2021-10-06T00:00:00"/>
    <s v="P0035"/>
    <n v="1"/>
    <x v="1"/>
    <x v="0"/>
    <n v="0"/>
    <x v="33"/>
    <x v="3"/>
    <x v="3"/>
    <n v="5"/>
    <n v="6.7"/>
    <n v="5"/>
    <n v="6.7"/>
    <x v="13"/>
    <x v="5"/>
    <x v="0"/>
  </r>
  <r>
    <d v="2021-10-10T00:00:00"/>
    <s v="P0035"/>
    <n v="14"/>
    <x v="1"/>
    <x v="1"/>
    <n v="0"/>
    <x v="33"/>
    <x v="3"/>
    <x v="3"/>
    <n v="5"/>
    <n v="6.7"/>
    <n v="70"/>
    <n v="93.8"/>
    <x v="4"/>
    <x v="5"/>
    <x v="0"/>
  </r>
  <r>
    <d v="2022-09-10T00:00:00"/>
    <s v="P0035"/>
    <n v="15"/>
    <x v="0"/>
    <x v="1"/>
    <n v="0"/>
    <x v="33"/>
    <x v="3"/>
    <x v="3"/>
    <n v="5"/>
    <n v="6.7"/>
    <n v="75"/>
    <n v="100.5"/>
    <x v="4"/>
    <x v="4"/>
    <x v="1"/>
  </r>
  <r>
    <d v="2022-10-06T00:00:00"/>
    <s v="P0035"/>
    <n v="1"/>
    <x v="1"/>
    <x v="0"/>
    <n v="0"/>
    <x v="33"/>
    <x v="3"/>
    <x v="3"/>
    <n v="5"/>
    <n v="6.7"/>
    <n v="5"/>
    <n v="6.7"/>
    <x v="13"/>
    <x v="5"/>
    <x v="1"/>
  </r>
  <r>
    <d v="2022-11-02T00:00:00"/>
    <s v="P0035"/>
    <n v="5"/>
    <x v="1"/>
    <x v="1"/>
    <n v="0"/>
    <x v="33"/>
    <x v="3"/>
    <x v="3"/>
    <n v="5"/>
    <n v="6.7"/>
    <n v="25"/>
    <n v="33.5"/>
    <x v="15"/>
    <x v="10"/>
    <x v="1"/>
  </r>
  <r>
    <d v="2021-07-23T00:00:00"/>
    <s v="P0036"/>
    <n v="7"/>
    <x v="2"/>
    <x v="0"/>
    <n v="0"/>
    <x v="34"/>
    <x v="3"/>
    <x v="0"/>
    <n v="90"/>
    <n v="96.3"/>
    <n v="630"/>
    <n v="674.1"/>
    <x v="12"/>
    <x v="7"/>
    <x v="0"/>
  </r>
  <r>
    <d v="2021-10-06T00:00:00"/>
    <s v="P0036"/>
    <n v="12"/>
    <x v="0"/>
    <x v="0"/>
    <n v="0"/>
    <x v="34"/>
    <x v="3"/>
    <x v="0"/>
    <n v="90"/>
    <n v="96.3"/>
    <n v="1080"/>
    <n v="1155.5999999999999"/>
    <x v="13"/>
    <x v="5"/>
    <x v="0"/>
  </r>
  <r>
    <d v="2021-11-06T00:00:00"/>
    <s v="P0036"/>
    <n v="10"/>
    <x v="1"/>
    <x v="0"/>
    <n v="0"/>
    <x v="34"/>
    <x v="3"/>
    <x v="0"/>
    <n v="90"/>
    <n v="96.3"/>
    <n v="900"/>
    <n v="963"/>
    <x v="13"/>
    <x v="10"/>
    <x v="0"/>
  </r>
  <r>
    <d v="2021-12-24T00:00:00"/>
    <s v="P0036"/>
    <n v="8"/>
    <x v="2"/>
    <x v="0"/>
    <n v="0"/>
    <x v="34"/>
    <x v="3"/>
    <x v="0"/>
    <n v="90"/>
    <n v="96.3"/>
    <n v="720"/>
    <n v="770.4"/>
    <x v="28"/>
    <x v="11"/>
    <x v="0"/>
  </r>
  <r>
    <d v="2022-02-23T00:00:00"/>
    <s v="P0036"/>
    <n v="8"/>
    <x v="1"/>
    <x v="0"/>
    <n v="0"/>
    <x v="34"/>
    <x v="3"/>
    <x v="0"/>
    <n v="90"/>
    <n v="96.3"/>
    <n v="720"/>
    <n v="770.4"/>
    <x v="12"/>
    <x v="6"/>
    <x v="1"/>
  </r>
  <r>
    <d v="2022-09-27T00:00:00"/>
    <s v="P0036"/>
    <n v="4"/>
    <x v="1"/>
    <x v="1"/>
    <n v="0"/>
    <x v="34"/>
    <x v="3"/>
    <x v="0"/>
    <n v="90"/>
    <n v="96.3"/>
    <n v="360"/>
    <n v="385.2"/>
    <x v="27"/>
    <x v="4"/>
    <x v="1"/>
  </r>
  <r>
    <d v="2022-10-16T00:00:00"/>
    <s v="P0036"/>
    <n v="3"/>
    <x v="0"/>
    <x v="0"/>
    <n v="0"/>
    <x v="34"/>
    <x v="3"/>
    <x v="0"/>
    <n v="90"/>
    <n v="96.3"/>
    <n v="270"/>
    <n v="288.89999999999998"/>
    <x v="21"/>
    <x v="5"/>
    <x v="1"/>
  </r>
  <r>
    <d v="2022-11-08T00:00:00"/>
    <s v="P0036"/>
    <n v="11"/>
    <x v="2"/>
    <x v="1"/>
    <n v="0"/>
    <x v="34"/>
    <x v="3"/>
    <x v="0"/>
    <n v="90"/>
    <n v="96.3"/>
    <n v="990"/>
    <n v="1059.3"/>
    <x v="25"/>
    <x v="10"/>
    <x v="1"/>
  </r>
  <r>
    <d v="2022-11-23T00:00:00"/>
    <s v="P0036"/>
    <n v="12"/>
    <x v="0"/>
    <x v="0"/>
    <n v="0"/>
    <x v="34"/>
    <x v="3"/>
    <x v="0"/>
    <n v="90"/>
    <n v="96.3"/>
    <n v="1080"/>
    <n v="1155.5999999999999"/>
    <x v="12"/>
    <x v="10"/>
    <x v="1"/>
  </r>
  <r>
    <d v="2021-01-11T00:00:00"/>
    <s v="P0037"/>
    <n v="3"/>
    <x v="1"/>
    <x v="1"/>
    <n v="0"/>
    <x v="35"/>
    <x v="4"/>
    <x v="0"/>
    <n v="67"/>
    <n v="85.76"/>
    <n v="201"/>
    <n v="257.28000000000003"/>
    <x v="5"/>
    <x v="0"/>
    <x v="0"/>
  </r>
  <r>
    <d v="2021-02-04T00:00:00"/>
    <s v="P0037"/>
    <n v="4"/>
    <x v="0"/>
    <x v="0"/>
    <n v="0"/>
    <x v="35"/>
    <x v="4"/>
    <x v="0"/>
    <n v="67"/>
    <n v="85.76"/>
    <n v="268"/>
    <n v="343.04"/>
    <x v="16"/>
    <x v="6"/>
    <x v="0"/>
  </r>
  <r>
    <d v="2021-04-12T00:00:00"/>
    <s v="P0037"/>
    <n v="3"/>
    <x v="1"/>
    <x v="1"/>
    <n v="0"/>
    <x v="35"/>
    <x v="4"/>
    <x v="0"/>
    <n v="67"/>
    <n v="85.76"/>
    <n v="201"/>
    <n v="257.28000000000003"/>
    <x v="29"/>
    <x v="8"/>
    <x v="0"/>
  </r>
  <r>
    <d v="2021-04-26T00:00:00"/>
    <s v="P0037"/>
    <n v="3"/>
    <x v="1"/>
    <x v="0"/>
    <n v="0"/>
    <x v="35"/>
    <x v="4"/>
    <x v="0"/>
    <n v="67"/>
    <n v="85.76"/>
    <n v="201"/>
    <n v="257.28000000000003"/>
    <x v="0"/>
    <x v="8"/>
    <x v="0"/>
  </r>
  <r>
    <d v="2021-07-23T00:00:00"/>
    <s v="P0037"/>
    <n v="8"/>
    <x v="1"/>
    <x v="0"/>
    <n v="0"/>
    <x v="35"/>
    <x v="4"/>
    <x v="0"/>
    <n v="67"/>
    <n v="85.76"/>
    <n v="536"/>
    <n v="686.08"/>
    <x v="12"/>
    <x v="7"/>
    <x v="0"/>
  </r>
  <r>
    <d v="2021-08-06T00:00:00"/>
    <s v="P0037"/>
    <n v="1"/>
    <x v="2"/>
    <x v="1"/>
    <n v="0"/>
    <x v="35"/>
    <x v="4"/>
    <x v="0"/>
    <n v="67"/>
    <n v="85.76"/>
    <n v="67"/>
    <n v="85.76"/>
    <x v="13"/>
    <x v="3"/>
    <x v="0"/>
  </r>
  <r>
    <d v="2022-02-28T00:00:00"/>
    <s v="P0037"/>
    <n v="15"/>
    <x v="1"/>
    <x v="1"/>
    <n v="0"/>
    <x v="35"/>
    <x v="4"/>
    <x v="0"/>
    <n v="67"/>
    <n v="85.76"/>
    <n v="1005"/>
    <n v="1286.4000000000001"/>
    <x v="24"/>
    <x v="6"/>
    <x v="1"/>
  </r>
  <r>
    <d v="2022-08-26T00:00:00"/>
    <s v="P0037"/>
    <n v="8"/>
    <x v="0"/>
    <x v="0"/>
    <n v="0"/>
    <x v="35"/>
    <x v="4"/>
    <x v="0"/>
    <n v="67"/>
    <n v="85.76"/>
    <n v="536"/>
    <n v="686.08"/>
    <x v="0"/>
    <x v="3"/>
    <x v="1"/>
  </r>
  <r>
    <d v="2022-09-15T00:00:00"/>
    <s v="P0037"/>
    <n v="15"/>
    <x v="0"/>
    <x v="0"/>
    <n v="0"/>
    <x v="35"/>
    <x v="4"/>
    <x v="0"/>
    <n v="67"/>
    <n v="85.76"/>
    <n v="1005"/>
    <n v="1286.4000000000001"/>
    <x v="26"/>
    <x v="4"/>
    <x v="1"/>
  </r>
  <r>
    <d v="2021-01-02T00:00:00"/>
    <s v="P0038"/>
    <n v="15"/>
    <x v="0"/>
    <x v="1"/>
    <n v="0"/>
    <x v="36"/>
    <x v="4"/>
    <x v="0"/>
    <n v="72"/>
    <n v="79.92"/>
    <n v="1080"/>
    <n v="1198.8"/>
    <x v="15"/>
    <x v="0"/>
    <x v="0"/>
  </r>
  <r>
    <d v="2021-03-25T00:00:00"/>
    <s v="P0038"/>
    <n v="2"/>
    <x v="1"/>
    <x v="0"/>
    <n v="0"/>
    <x v="36"/>
    <x v="4"/>
    <x v="0"/>
    <n v="72"/>
    <n v="79.92"/>
    <n v="144"/>
    <n v="159.84"/>
    <x v="8"/>
    <x v="1"/>
    <x v="0"/>
  </r>
  <r>
    <d v="2021-03-30T00:00:00"/>
    <s v="P0038"/>
    <n v="1"/>
    <x v="0"/>
    <x v="1"/>
    <n v="0"/>
    <x v="36"/>
    <x v="4"/>
    <x v="0"/>
    <n v="72"/>
    <n v="79.92"/>
    <n v="72"/>
    <n v="79.92"/>
    <x v="9"/>
    <x v="1"/>
    <x v="0"/>
  </r>
  <r>
    <d v="2021-04-18T00:00:00"/>
    <s v="P0038"/>
    <n v="9"/>
    <x v="2"/>
    <x v="0"/>
    <n v="0"/>
    <x v="36"/>
    <x v="4"/>
    <x v="0"/>
    <n v="72"/>
    <n v="79.92"/>
    <n v="648"/>
    <n v="719.28"/>
    <x v="22"/>
    <x v="8"/>
    <x v="0"/>
  </r>
  <r>
    <d v="2021-07-20T00:00:00"/>
    <s v="P0038"/>
    <n v="11"/>
    <x v="0"/>
    <x v="0"/>
    <n v="0"/>
    <x v="36"/>
    <x v="4"/>
    <x v="0"/>
    <n v="72"/>
    <n v="79.92"/>
    <n v="792"/>
    <n v="879.12"/>
    <x v="10"/>
    <x v="7"/>
    <x v="0"/>
  </r>
  <r>
    <d v="2021-10-09T00:00:00"/>
    <s v="P0038"/>
    <n v="5"/>
    <x v="1"/>
    <x v="1"/>
    <n v="0"/>
    <x v="36"/>
    <x v="4"/>
    <x v="0"/>
    <n v="72"/>
    <n v="79.92"/>
    <n v="360"/>
    <n v="399.6"/>
    <x v="1"/>
    <x v="5"/>
    <x v="0"/>
  </r>
  <r>
    <d v="2021-10-29T00:00:00"/>
    <s v="P0038"/>
    <n v="14"/>
    <x v="0"/>
    <x v="0"/>
    <n v="0"/>
    <x v="36"/>
    <x v="4"/>
    <x v="0"/>
    <n v="72"/>
    <n v="79.92"/>
    <n v="1008"/>
    <n v="1118.8800000000001"/>
    <x v="30"/>
    <x v="5"/>
    <x v="0"/>
  </r>
  <r>
    <d v="2022-05-18T00:00:00"/>
    <s v="P0038"/>
    <n v="8"/>
    <x v="2"/>
    <x v="0"/>
    <n v="0"/>
    <x v="36"/>
    <x v="4"/>
    <x v="0"/>
    <n v="72"/>
    <n v="79.92"/>
    <n v="576"/>
    <n v="639.36"/>
    <x v="22"/>
    <x v="9"/>
    <x v="1"/>
  </r>
  <r>
    <d v="2022-09-10T00:00:00"/>
    <s v="P0038"/>
    <n v="4"/>
    <x v="1"/>
    <x v="1"/>
    <n v="0"/>
    <x v="36"/>
    <x v="4"/>
    <x v="0"/>
    <n v="72"/>
    <n v="79.92"/>
    <n v="288"/>
    <n v="319.68"/>
    <x v="4"/>
    <x v="4"/>
    <x v="1"/>
  </r>
  <r>
    <d v="2022-09-27T00:00:00"/>
    <s v="P0038"/>
    <n v="3"/>
    <x v="2"/>
    <x v="1"/>
    <n v="0"/>
    <x v="36"/>
    <x v="4"/>
    <x v="0"/>
    <n v="72"/>
    <n v="79.92"/>
    <n v="216"/>
    <n v="239.76"/>
    <x v="27"/>
    <x v="4"/>
    <x v="1"/>
  </r>
  <r>
    <d v="2022-10-09T00:00:00"/>
    <s v="P0038"/>
    <n v="14"/>
    <x v="0"/>
    <x v="0"/>
    <n v="0"/>
    <x v="36"/>
    <x v="4"/>
    <x v="0"/>
    <n v="72"/>
    <n v="79.92"/>
    <n v="1008"/>
    <n v="1118.8800000000001"/>
    <x v="1"/>
    <x v="5"/>
    <x v="1"/>
  </r>
  <r>
    <d v="2022-10-31T00:00:00"/>
    <s v="P0038"/>
    <n v="8"/>
    <x v="1"/>
    <x v="0"/>
    <n v="0"/>
    <x v="36"/>
    <x v="4"/>
    <x v="0"/>
    <n v="72"/>
    <n v="79.92"/>
    <n v="576"/>
    <n v="639.36"/>
    <x v="3"/>
    <x v="5"/>
    <x v="1"/>
  </r>
  <r>
    <d v="2022-12-07T00:00:00"/>
    <s v="P0038"/>
    <n v="12"/>
    <x v="1"/>
    <x v="1"/>
    <n v="0"/>
    <x v="36"/>
    <x v="4"/>
    <x v="0"/>
    <n v="72"/>
    <n v="79.92"/>
    <n v="864"/>
    <n v="959.04"/>
    <x v="23"/>
    <x v="11"/>
    <x v="1"/>
  </r>
  <r>
    <d v="2022-12-07T00:00:00"/>
    <s v="P0038"/>
    <n v="5"/>
    <x v="1"/>
    <x v="1"/>
    <n v="0"/>
    <x v="36"/>
    <x v="4"/>
    <x v="0"/>
    <n v="72"/>
    <n v="79.92"/>
    <n v="360"/>
    <n v="399.6"/>
    <x v="23"/>
    <x v="11"/>
    <x v="1"/>
  </r>
  <r>
    <d v="2021-03-15T00:00:00"/>
    <s v="P0039"/>
    <n v="11"/>
    <x v="0"/>
    <x v="1"/>
    <n v="0"/>
    <x v="37"/>
    <x v="4"/>
    <x v="3"/>
    <n v="37"/>
    <n v="42.55"/>
    <n v="407"/>
    <n v="468.04999999999995"/>
    <x v="26"/>
    <x v="1"/>
    <x v="0"/>
  </r>
  <r>
    <d v="2021-03-21T00:00:00"/>
    <s v="P0039"/>
    <n v="7"/>
    <x v="1"/>
    <x v="0"/>
    <n v="0"/>
    <x v="37"/>
    <x v="4"/>
    <x v="3"/>
    <n v="37"/>
    <n v="42.55"/>
    <n v="259"/>
    <n v="297.84999999999997"/>
    <x v="19"/>
    <x v="1"/>
    <x v="0"/>
  </r>
  <r>
    <d v="2021-06-16T00:00:00"/>
    <s v="P0039"/>
    <n v="11"/>
    <x v="1"/>
    <x v="1"/>
    <n v="0"/>
    <x v="37"/>
    <x v="4"/>
    <x v="3"/>
    <n v="37"/>
    <n v="42.55"/>
    <n v="407"/>
    <n v="468.04999999999995"/>
    <x v="21"/>
    <x v="2"/>
    <x v="0"/>
  </r>
  <r>
    <d v="2021-08-26T00:00:00"/>
    <s v="P0039"/>
    <n v="4"/>
    <x v="1"/>
    <x v="0"/>
    <n v="0"/>
    <x v="37"/>
    <x v="4"/>
    <x v="3"/>
    <n v="37"/>
    <n v="42.55"/>
    <n v="148"/>
    <n v="170.2"/>
    <x v="0"/>
    <x v="3"/>
    <x v="0"/>
  </r>
  <r>
    <d v="2021-11-30T00:00:00"/>
    <s v="P0039"/>
    <n v="15"/>
    <x v="1"/>
    <x v="0"/>
    <n v="0"/>
    <x v="37"/>
    <x v="4"/>
    <x v="3"/>
    <n v="37"/>
    <n v="42.55"/>
    <n v="555"/>
    <n v="638.25"/>
    <x v="9"/>
    <x v="10"/>
    <x v="0"/>
  </r>
  <r>
    <d v="2022-04-09T00:00:00"/>
    <s v="P0039"/>
    <n v="12"/>
    <x v="2"/>
    <x v="1"/>
    <n v="0"/>
    <x v="37"/>
    <x v="4"/>
    <x v="3"/>
    <n v="37"/>
    <n v="42.55"/>
    <n v="444"/>
    <n v="510.59999999999997"/>
    <x v="1"/>
    <x v="8"/>
    <x v="1"/>
  </r>
  <r>
    <d v="2022-06-11T00:00:00"/>
    <s v="P0039"/>
    <n v="13"/>
    <x v="0"/>
    <x v="1"/>
    <n v="0"/>
    <x v="37"/>
    <x v="4"/>
    <x v="3"/>
    <n v="37"/>
    <n v="42.55"/>
    <n v="481"/>
    <n v="553.15"/>
    <x v="5"/>
    <x v="2"/>
    <x v="1"/>
  </r>
  <r>
    <d v="2022-08-27T00:00:00"/>
    <s v="P0039"/>
    <n v="15"/>
    <x v="2"/>
    <x v="0"/>
    <n v="0"/>
    <x v="37"/>
    <x v="4"/>
    <x v="3"/>
    <n v="37"/>
    <n v="42.55"/>
    <n v="555"/>
    <n v="638.25"/>
    <x v="27"/>
    <x v="3"/>
    <x v="1"/>
  </r>
  <r>
    <d v="2022-08-28T00:00:00"/>
    <s v="P0039"/>
    <n v="5"/>
    <x v="1"/>
    <x v="0"/>
    <n v="0"/>
    <x v="37"/>
    <x v="4"/>
    <x v="3"/>
    <n v="37"/>
    <n v="42.55"/>
    <n v="185"/>
    <n v="212.75"/>
    <x v="24"/>
    <x v="3"/>
    <x v="1"/>
  </r>
  <r>
    <d v="2021-01-27T00:00:00"/>
    <s v="P0040"/>
    <n v="7"/>
    <x v="2"/>
    <x v="0"/>
    <n v="0"/>
    <x v="38"/>
    <x v="4"/>
    <x v="0"/>
    <n v="90"/>
    <n v="115.2"/>
    <n v="630"/>
    <n v="806.4"/>
    <x v="27"/>
    <x v="0"/>
    <x v="0"/>
  </r>
  <r>
    <d v="2021-04-04T00:00:00"/>
    <s v="P0040"/>
    <n v="4"/>
    <x v="1"/>
    <x v="1"/>
    <n v="0"/>
    <x v="38"/>
    <x v="4"/>
    <x v="0"/>
    <n v="90"/>
    <n v="115.2"/>
    <n v="360"/>
    <n v="460.8"/>
    <x v="16"/>
    <x v="8"/>
    <x v="0"/>
  </r>
  <r>
    <d v="2021-05-23T00:00:00"/>
    <s v="P0040"/>
    <n v="11"/>
    <x v="1"/>
    <x v="0"/>
    <n v="0"/>
    <x v="38"/>
    <x v="4"/>
    <x v="0"/>
    <n v="90"/>
    <n v="115.2"/>
    <n v="990"/>
    <n v="1267.2"/>
    <x v="12"/>
    <x v="9"/>
    <x v="0"/>
  </r>
  <r>
    <d v="2021-09-22T00:00:00"/>
    <s v="P0040"/>
    <n v="2"/>
    <x v="0"/>
    <x v="1"/>
    <n v="0"/>
    <x v="38"/>
    <x v="4"/>
    <x v="0"/>
    <n v="90"/>
    <n v="115.2"/>
    <n v="180"/>
    <n v="230.4"/>
    <x v="7"/>
    <x v="4"/>
    <x v="0"/>
  </r>
  <r>
    <d v="2021-11-11T00:00:00"/>
    <s v="P0040"/>
    <n v="12"/>
    <x v="2"/>
    <x v="0"/>
    <n v="0"/>
    <x v="38"/>
    <x v="4"/>
    <x v="0"/>
    <n v="90"/>
    <n v="115.2"/>
    <n v="1080"/>
    <n v="1382.4"/>
    <x v="5"/>
    <x v="10"/>
    <x v="0"/>
  </r>
  <r>
    <d v="2021-11-28T00:00:00"/>
    <s v="P0040"/>
    <n v="2"/>
    <x v="1"/>
    <x v="1"/>
    <n v="0"/>
    <x v="38"/>
    <x v="4"/>
    <x v="0"/>
    <n v="90"/>
    <n v="115.2"/>
    <n v="180"/>
    <n v="230.4"/>
    <x v="24"/>
    <x v="10"/>
    <x v="0"/>
  </r>
  <r>
    <d v="2022-01-17T00:00:00"/>
    <s v="P0040"/>
    <n v="4"/>
    <x v="0"/>
    <x v="0"/>
    <n v="0"/>
    <x v="38"/>
    <x v="4"/>
    <x v="0"/>
    <n v="90"/>
    <n v="115.2"/>
    <n v="360"/>
    <n v="460.8"/>
    <x v="6"/>
    <x v="0"/>
    <x v="1"/>
  </r>
  <r>
    <d v="2022-04-06T00:00:00"/>
    <s v="P0040"/>
    <n v="2"/>
    <x v="2"/>
    <x v="1"/>
    <n v="0"/>
    <x v="38"/>
    <x v="4"/>
    <x v="0"/>
    <n v="90"/>
    <n v="115.2"/>
    <n v="180"/>
    <n v="230.4"/>
    <x v="13"/>
    <x v="8"/>
    <x v="1"/>
  </r>
  <r>
    <d v="2022-06-22T00:00:00"/>
    <s v="P0040"/>
    <n v="10"/>
    <x v="0"/>
    <x v="1"/>
    <n v="0"/>
    <x v="38"/>
    <x v="4"/>
    <x v="0"/>
    <n v="90"/>
    <n v="115.2"/>
    <n v="900"/>
    <n v="1152"/>
    <x v="7"/>
    <x v="2"/>
    <x v="1"/>
  </r>
  <r>
    <d v="2022-11-07T00:00:00"/>
    <s v="P0040"/>
    <n v="13"/>
    <x v="0"/>
    <x v="1"/>
    <n v="0"/>
    <x v="38"/>
    <x v="4"/>
    <x v="0"/>
    <n v="90"/>
    <n v="115.2"/>
    <n v="1170"/>
    <n v="1497.6000000000001"/>
    <x v="23"/>
    <x v="10"/>
    <x v="1"/>
  </r>
  <r>
    <d v="2021-06-12T00:00:00"/>
    <s v="P0041"/>
    <n v="6"/>
    <x v="1"/>
    <x v="0"/>
    <n v="0"/>
    <x v="39"/>
    <x v="4"/>
    <x v="2"/>
    <n v="138"/>
    <n v="173.88"/>
    <n v="828"/>
    <n v="1043.28"/>
    <x v="29"/>
    <x v="2"/>
    <x v="0"/>
  </r>
  <r>
    <d v="2021-06-19T00:00:00"/>
    <s v="P0041"/>
    <n v="5"/>
    <x v="1"/>
    <x v="0"/>
    <n v="0"/>
    <x v="39"/>
    <x v="4"/>
    <x v="2"/>
    <n v="138"/>
    <n v="173.88"/>
    <n v="690"/>
    <n v="869.4"/>
    <x v="14"/>
    <x v="2"/>
    <x v="0"/>
  </r>
  <r>
    <d v="2021-07-06T00:00:00"/>
    <s v="P0041"/>
    <n v="15"/>
    <x v="1"/>
    <x v="1"/>
    <n v="0"/>
    <x v="39"/>
    <x v="4"/>
    <x v="2"/>
    <n v="138"/>
    <n v="173.88"/>
    <n v="2070"/>
    <n v="2608.1999999999998"/>
    <x v="13"/>
    <x v="7"/>
    <x v="0"/>
  </r>
  <r>
    <d v="2021-09-03T00:00:00"/>
    <s v="P0041"/>
    <n v="8"/>
    <x v="1"/>
    <x v="0"/>
    <n v="0"/>
    <x v="39"/>
    <x v="4"/>
    <x v="2"/>
    <n v="138"/>
    <n v="173.88"/>
    <n v="1104"/>
    <n v="1391.04"/>
    <x v="20"/>
    <x v="4"/>
    <x v="0"/>
  </r>
  <r>
    <d v="2021-09-13T00:00:00"/>
    <s v="P0041"/>
    <n v="7"/>
    <x v="1"/>
    <x v="1"/>
    <n v="0"/>
    <x v="39"/>
    <x v="4"/>
    <x v="2"/>
    <n v="138"/>
    <n v="173.88"/>
    <n v="966"/>
    <n v="1217.1599999999999"/>
    <x v="17"/>
    <x v="4"/>
    <x v="0"/>
  </r>
  <r>
    <d v="2021-12-26T00:00:00"/>
    <s v="P0041"/>
    <n v="14"/>
    <x v="0"/>
    <x v="1"/>
    <n v="0"/>
    <x v="39"/>
    <x v="4"/>
    <x v="2"/>
    <n v="138"/>
    <n v="173.88"/>
    <n v="1932"/>
    <n v="2434.3199999999997"/>
    <x v="0"/>
    <x v="11"/>
    <x v="0"/>
  </r>
  <r>
    <d v="2022-01-31T00:00:00"/>
    <s v="P0041"/>
    <n v="9"/>
    <x v="1"/>
    <x v="1"/>
    <n v="0"/>
    <x v="39"/>
    <x v="4"/>
    <x v="2"/>
    <n v="138"/>
    <n v="173.88"/>
    <n v="1242"/>
    <n v="1564.92"/>
    <x v="3"/>
    <x v="0"/>
    <x v="1"/>
  </r>
  <r>
    <d v="2022-03-19T00:00:00"/>
    <s v="P0041"/>
    <n v="6"/>
    <x v="2"/>
    <x v="1"/>
    <n v="0"/>
    <x v="39"/>
    <x v="4"/>
    <x v="2"/>
    <n v="138"/>
    <n v="173.88"/>
    <n v="828"/>
    <n v="1043.28"/>
    <x v="14"/>
    <x v="1"/>
    <x v="1"/>
  </r>
  <r>
    <d v="2022-04-18T00:00:00"/>
    <s v="P0041"/>
    <n v="9"/>
    <x v="1"/>
    <x v="1"/>
    <n v="0"/>
    <x v="39"/>
    <x v="4"/>
    <x v="2"/>
    <n v="138"/>
    <n v="173.88"/>
    <n v="1242"/>
    <n v="1564.92"/>
    <x v="22"/>
    <x v="8"/>
    <x v="1"/>
  </r>
  <r>
    <d v="2022-05-28T00:00:00"/>
    <s v="P0041"/>
    <n v="10"/>
    <x v="2"/>
    <x v="1"/>
    <n v="0"/>
    <x v="39"/>
    <x v="4"/>
    <x v="2"/>
    <n v="138"/>
    <n v="173.88"/>
    <n v="1380"/>
    <n v="1738.8"/>
    <x v="24"/>
    <x v="9"/>
    <x v="1"/>
  </r>
  <r>
    <d v="2022-07-06T00:00:00"/>
    <s v="P0041"/>
    <n v="2"/>
    <x v="1"/>
    <x v="1"/>
    <n v="0"/>
    <x v="39"/>
    <x v="4"/>
    <x v="2"/>
    <n v="138"/>
    <n v="173.88"/>
    <n v="276"/>
    <n v="347.76"/>
    <x v="13"/>
    <x v="7"/>
    <x v="1"/>
  </r>
  <r>
    <d v="2022-07-17T00:00:00"/>
    <s v="P0041"/>
    <n v="8"/>
    <x v="0"/>
    <x v="1"/>
    <n v="0"/>
    <x v="39"/>
    <x v="4"/>
    <x v="2"/>
    <n v="138"/>
    <n v="173.88"/>
    <n v="1104"/>
    <n v="1391.04"/>
    <x v="6"/>
    <x v="7"/>
    <x v="1"/>
  </r>
  <r>
    <d v="2022-09-09T00:00:00"/>
    <s v="P0041"/>
    <n v="9"/>
    <x v="1"/>
    <x v="0"/>
    <n v="0"/>
    <x v="39"/>
    <x v="4"/>
    <x v="2"/>
    <n v="138"/>
    <n v="173.88"/>
    <n v="1242"/>
    <n v="1564.92"/>
    <x v="1"/>
    <x v="4"/>
    <x v="1"/>
  </r>
  <r>
    <d v="2022-12-12T00:00:00"/>
    <s v="P0041"/>
    <n v="10"/>
    <x v="2"/>
    <x v="0"/>
    <n v="0"/>
    <x v="39"/>
    <x v="4"/>
    <x v="2"/>
    <n v="138"/>
    <n v="173.88"/>
    <n v="1380"/>
    <n v="1738.8"/>
    <x v="29"/>
    <x v="11"/>
    <x v="1"/>
  </r>
  <r>
    <d v="2022-12-30T00:00:00"/>
    <s v="P0041"/>
    <n v="14"/>
    <x v="1"/>
    <x v="0"/>
    <n v="0"/>
    <x v="39"/>
    <x v="4"/>
    <x v="2"/>
    <n v="138"/>
    <n v="173.88"/>
    <n v="1932"/>
    <n v="2434.3199999999997"/>
    <x v="9"/>
    <x v="11"/>
    <x v="1"/>
  </r>
  <r>
    <d v="2021-01-11T00:00:00"/>
    <s v="P0042"/>
    <n v="4"/>
    <x v="1"/>
    <x v="0"/>
    <n v="0"/>
    <x v="40"/>
    <x v="4"/>
    <x v="2"/>
    <n v="120"/>
    <n v="162"/>
    <n v="480"/>
    <n v="648"/>
    <x v="5"/>
    <x v="0"/>
    <x v="0"/>
  </r>
  <r>
    <d v="2021-01-12T00:00:00"/>
    <s v="P0042"/>
    <n v="10"/>
    <x v="0"/>
    <x v="1"/>
    <n v="0"/>
    <x v="40"/>
    <x v="4"/>
    <x v="2"/>
    <n v="120"/>
    <n v="162"/>
    <n v="1200"/>
    <n v="1620"/>
    <x v="29"/>
    <x v="0"/>
    <x v="0"/>
  </r>
  <r>
    <d v="2021-01-21T00:00:00"/>
    <s v="P0042"/>
    <n v="6"/>
    <x v="1"/>
    <x v="0"/>
    <n v="0"/>
    <x v="40"/>
    <x v="4"/>
    <x v="2"/>
    <n v="120"/>
    <n v="162"/>
    <n v="720"/>
    <n v="972"/>
    <x v="19"/>
    <x v="0"/>
    <x v="0"/>
  </r>
  <r>
    <d v="2021-03-18T00:00:00"/>
    <s v="P0042"/>
    <n v="8"/>
    <x v="2"/>
    <x v="1"/>
    <n v="0"/>
    <x v="40"/>
    <x v="4"/>
    <x v="2"/>
    <n v="120"/>
    <n v="162"/>
    <n v="960"/>
    <n v="1296"/>
    <x v="22"/>
    <x v="1"/>
    <x v="0"/>
  </r>
  <r>
    <d v="2021-03-26T00:00:00"/>
    <s v="P0042"/>
    <n v="1"/>
    <x v="1"/>
    <x v="1"/>
    <n v="0"/>
    <x v="40"/>
    <x v="4"/>
    <x v="2"/>
    <n v="120"/>
    <n v="162"/>
    <n v="120"/>
    <n v="162"/>
    <x v="0"/>
    <x v="1"/>
    <x v="0"/>
  </r>
  <r>
    <d v="2021-03-31T00:00:00"/>
    <s v="P0042"/>
    <n v="3"/>
    <x v="1"/>
    <x v="1"/>
    <n v="0"/>
    <x v="40"/>
    <x v="4"/>
    <x v="2"/>
    <n v="120"/>
    <n v="162"/>
    <n v="360"/>
    <n v="486"/>
    <x v="3"/>
    <x v="1"/>
    <x v="0"/>
  </r>
  <r>
    <d v="2021-04-23T00:00:00"/>
    <s v="P0042"/>
    <n v="6"/>
    <x v="1"/>
    <x v="0"/>
    <n v="0"/>
    <x v="40"/>
    <x v="4"/>
    <x v="2"/>
    <n v="120"/>
    <n v="162"/>
    <n v="720"/>
    <n v="972"/>
    <x v="12"/>
    <x v="8"/>
    <x v="0"/>
  </r>
  <r>
    <d v="2021-05-01T00:00:00"/>
    <s v="P0042"/>
    <n v="1"/>
    <x v="0"/>
    <x v="1"/>
    <n v="0"/>
    <x v="40"/>
    <x v="4"/>
    <x v="2"/>
    <n v="120"/>
    <n v="162"/>
    <n v="120"/>
    <n v="162"/>
    <x v="2"/>
    <x v="9"/>
    <x v="0"/>
  </r>
  <r>
    <d v="2021-05-20T00:00:00"/>
    <s v="P0042"/>
    <n v="2"/>
    <x v="0"/>
    <x v="1"/>
    <n v="0"/>
    <x v="40"/>
    <x v="4"/>
    <x v="2"/>
    <n v="120"/>
    <n v="162"/>
    <n v="240"/>
    <n v="324"/>
    <x v="10"/>
    <x v="9"/>
    <x v="0"/>
  </r>
  <r>
    <d v="2021-09-15T00:00:00"/>
    <s v="P0042"/>
    <n v="6"/>
    <x v="1"/>
    <x v="0"/>
    <n v="0"/>
    <x v="40"/>
    <x v="4"/>
    <x v="2"/>
    <n v="120"/>
    <n v="162"/>
    <n v="720"/>
    <n v="972"/>
    <x v="26"/>
    <x v="4"/>
    <x v="0"/>
  </r>
  <r>
    <d v="2021-09-15T00:00:00"/>
    <s v="P0042"/>
    <n v="14"/>
    <x v="1"/>
    <x v="0"/>
    <n v="0"/>
    <x v="40"/>
    <x v="4"/>
    <x v="2"/>
    <n v="120"/>
    <n v="162"/>
    <n v="1680"/>
    <n v="2268"/>
    <x v="26"/>
    <x v="4"/>
    <x v="0"/>
  </r>
  <r>
    <d v="2021-11-10T00:00:00"/>
    <s v="P0042"/>
    <n v="6"/>
    <x v="0"/>
    <x v="1"/>
    <n v="0"/>
    <x v="40"/>
    <x v="4"/>
    <x v="2"/>
    <n v="120"/>
    <n v="162"/>
    <n v="720"/>
    <n v="972"/>
    <x v="4"/>
    <x v="10"/>
    <x v="0"/>
  </r>
  <r>
    <d v="2021-12-14T00:00:00"/>
    <s v="P0042"/>
    <n v="4"/>
    <x v="1"/>
    <x v="0"/>
    <n v="0"/>
    <x v="40"/>
    <x v="4"/>
    <x v="2"/>
    <n v="120"/>
    <n v="162"/>
    <n v="480"/>
    <n v="648"/>
    <x v="18"/>
    <x v="11"/>
    <x v="0"/>
  </r>
  <r>
    <d v="2021-12-24T00:00:00"/>
    <s v="P0042"/>
    <n v="8"/>
    <x v="2"/>
    <x v="1"/>
    <n v="0"/>
    <x v="40"/>
    <x v="4"/>
    <x v="2"/>
    <n v="120"/>
    <n v="162"/>
    <n v="960"/>
    <n v="1296"/>
    <x v="28"/>
    <x v="11"/>
    <x v="0"/>
  </r>
  <r>
    <d v="2022-01-23T00:00:00"/>
    <s v="P0042"/>
    <n v="8"/>
    <x v="1"/>
    <x v="0"/>
    <n v="0"/>
    <x v="40"/>
    <x v="4"/>
    <x v="2"/>
    <n v="120"/>
    <n v="162"/>
    <n v="960"/>
    <n v="1296"/>
    <x v="12"/>
    <x v="0"/>
    <x v="1"/>
  </r>
  <r>
    <d v="2022-06-15T00:00:00"/>
    <s v="P0042"/>
    <n v="15"/>
    <x v="2"/>
    <x v="0"/>
    <n v="0"/>
    <x v="40"/>
    <x v="4"/>
    <x v="2"/>
    <n v="120"/>
    <n v="162"/>
    <n v="1800"/>
    <n v="2430"/>
    <x v="26"/>
    <x v="2"/>
    <x v="1"/>
  </r>
  <r>
    <d v="2022-07-20T00:00:00"/>
    <s v="P0042"/>
    <n v="8"/>
    <x v="2"/>
    <x v="0"/>
    <n v="0"/>
    <x v="40"/>
    <x v="4"/>
    <x v="2"/>
    <n v="120"/>
    <n v="162"/>
    <n v="960"/>
    <n v="1296"/>
    <x v="10"/>
    <x v="7"/>
    <x v="1"/>
  </r>
  <r>
    <d v="2022-10-30T00:00:00"/>
    <s v="P0042"/>
    <n v="3"/>
    <x v="1"/>
    <x v="1"/>
    <n v="0"/>
    <x v="40"/>
    <x v="4"/>
    <x v="2"/>
    <n v="120"/>
    <n v="162"/>
    <n v="360"/>
    <n v="486"/>
    <x v="9"/>
    <x v="5"/>
    <x v="1"/>
  </r>
  <r>
    <d v="2022-11-06T00:00:00"/>
    <s v="P0042"/>
    <n v="13"/>
    <x v="1"/>
    <x v="1"/>
    <n v="0"/>
    <x v="40"/>
    <x v="4"/>
    <x v="2"/>
    <n v="120"/>
    <n v="162"/>
    <n v="1560"/>
    <n v="2106"/>
    <x v="13"/>
    <x v="10"/>
    <x v="1"/>
  </r>
  <r>
    <d v="2022-12-29T00:00:00"/>
    <s v="P0042"/>
    <n v="1"/>
    <x v="2"/>
    <x v="1"/>
    <n v="0"/>
    <x v="40"/>
    <x v="4"/>
    <x v="2"/>
    <n v="120"/>
    <n v="162"/>
    <n v="120"/>
    <n v="162"/>
    <x v="30"/>
    <x v="11"/>
    <x v="1"/>
  </r>
  <r>
    <d v="2021-02-05T00:00:00"/>
    <s v="P0043"/>
    <n v="7"/>
    <x v="0"/>
    <x v="1"/>
    <n v="0"/>
    <x v="41"/>
    <x v="4"/>
    <x v="0"/>
    <n v="67"/>
    <n v="83.08"/>
    <n v="469"/>
    <n v="581.55999999999995"/>
    <x v="11"/>
    <x v="6"/>
    <x v="0"/>
  </r>
  <r>
    <d v="2021-02-05T00:00:00"/>
    <s v="P0043"/>
    <n v="9"/>
    <x v="1"/>
    <x v="1"/>
    <n v="0"/>
    <x v="41"/>
    <x v="4"/>
    <x v="0"/>
    <n v="67"/>
    <n v="83.08"/>
    <n v="603"/>
    <n v="747.72"/>
    <x v="11"/>
    <x v="6"/>
    <x v="0"/>
  </r>
  <r>
    <d v="2021-07-20T00:00:00"/>
    <s v="P0043"/>
    <n v="5"/>
    <x v="1"/>
    <x v="0"/>
    <n v="0"/>
    <x v="41"/>
    <x v="4"/>
    <x v="0"/>
    <n v="67"/>
    <n v="83.08"/>
    <n v="335"/>
    <n v="415.4"/>
    <x v="10"/>
    <x v="7"/>
    <x v="0"/>
  </r>
  <r>
    <d v="2022-01-03T00:00:00"/>
    <s v="P0043"/>
    <n v="9"/>
    <x v="1"/>
    <x v="1"/>
    <n v="0"/>
    <x v="41"/>
    <x v="4"/>
    <x v="0"/>
    <n v="67"/>
    <n v="83.08"/>
    <n v="603"/>
    <n v="747.72"/>
    <x v="20"/>
    <x v="0"/>
    <x v="1"/>
  </r>
  <r>
    <d v="2022-06-26T00:00:00"/>
    <s v="P0043"/>
    <n v="12"/>
    <x v="1"/>
    <x v="0"/>
    <n v="0"/>
    <x v="41"/>
    <x v="4"/>
    <x v="0"/>
    <n v="67"/>
    <n v="83.08"/>
    <n v="804"/>
    <n v="996.96"/>
    <x v="0"/>
    <x v="2"/>
    <x v="1"/>
  </r>
  <r>
    <d v="2022-08-30T00:00:00"/>
    <s v="P0043"/>
    <n v="6"/>
    <x v="1"/>
    <x v="1"/>
    <n v="0"/>
    <x v="41"/>
    <x v="4"/>
    <x v="0"/>
    <n v="67"/>
    <n v="83.08"/>
    <n v="402"/>
    <n v="498.48"/>
    <x v="9"/>
    <x v="3"/>
    <x v="1"/>
  </r>
  <r>
    <d v="2022-09-22T00:00:00"/>
    <s v="P0043"/>
    <n v="12"/>
    <x v="0"/>
    <x v="0"/>
    <n v="0"/>
    <x v="41"/>
    <x v="4"/>
    <x v="0"/>
    <n v="67"/>
    <n v="83.08"/>
    <n v="804"/>
    <n v="996.96"/>
    <x v="7"/>
    <x v="4"/>
    <x v="1"/>
  </r>
  <r>
    <d v="2022-11-06T00:00:00"/>
    <s v="P0043"/>
    <n v="13"/>
    <x v="1"/>
    <x v="1"/>
    <n v="0"/>
    <x v="41"/>
    <x v="4"/>
    <x v="0"/>
    <n v="67"/>
    <n v="83.08"/>
    <n v="871"/>
    <n v="1080.04"/>
    <x v="13"/>
    <x v="10"/>
    <x v="1"/>
  </r>
  <r>
    <d v="2021-01-18T00:00:00"/>
    <s v="P0044"/>
    <n v="13"/>
    <x v="1"/>
    <x v="0"/>
    <n v="0"/>
    <x v="42"/>
    <x v="4"/>
    <x v="0"/>
    <n v="76"/>
    <n v="82.08"/>
    <n v="988"/>
    <n v="1067.04"/>
    <x v="22"/>
    <x v="0"/>
    <x v="0"/>
  </r>
  <r>
    <d v="2021-01-26T00:00:00"/>
    <s v="P0044"/>
    <n v="9"/>
    <x v="2"/>
    <x v="1"/>
    <n v="0"/>
    <x v="42"/>
    <x v="4"/>
    <x v="0"/>
    <n v="76"/>
    <n v="82.08"/>
    <n v="684"/>
    <n v="738.72"/>
    <x v="0"/>
    <x v="0"/>
    <x v="0"/>
  </r>
  <r>
    <d v="2021-03-08T00:00:00"/>
    <s v="P0044"/>
    <n v="9"/>
    <x v="0"/>
    <x v="0"/>
    <n v="0"/>
    <x v="42"/>
    <x v="4"/>
    <x v="0"/>
    <n v="76"/>
    <n v="82.08"/>
    <n v="684"/>
    <n v="738.72"/>
    <x v="25"/>
    <x v="1"/>
    <x v="0"/>
  </r>
  <r>
    <d v="2021-07-29T00:00:00"/>
    <s v="P0044"/>
    <n v="15"/>
    <x v="0"/>
    <x v="1"/>
    <n v="0"/>
    <x v="42"/>
    <x v="4"/>
    <x v="0"/>
    <n v="76"/>
    <n v="82.08"/>
    <n v="1140"/>
    <n v="1231.2"/>
    <x v="30"/>
    <x v="7"/>
    <x v="0"/>
  </r>
  <r>
    <d v="2021-08-10T00:00:00"/>
    <s v="P0044"/>
    <n v="10"/>
    <x v="0"/>
    <x v="1"/>
    <n v="0"/>
    <x v="42"/>
    <x v="4"/>
    <x v="0"/>
    <n v="76"/>
    <n v="82.08"/>
    <n v="760"/>
    <n v="820.8"/>
    <x v="4"/>
    <x v="3"/>
    <x v="0"/>
  </r>
  <r>
    <d v="2021-09-09T00:00:00"/>
    <s v="P0044"/>
    <n v="4"/>
    <x v="1"/>
    <x v="0"/>
    <n v="0"/>
    <x v="42"/>
    <x v="4"/>
    <x v="0"/>
    <n v="76"/>
    <n v="82.08"/>
    <n v="304"/>
    <n v="328.32"/>
    <x v="1"/>
    <x v="4"/>
    <x v="0"/>
  </r>
  <r>
    <d v="2021-10-25T00:00:00"/>
    <s v="P0044"/>
    <n v="9"/>
    <x v="0"/>
    <x v="1"/>
    <n v="0"/>
    <x v="42"/>
    <x v="4"/>
    <x v="0"/>
    <n v="76"/>
    <n v="82.08"/>
    <n v="684"/>
    <n v="738.72"/>
    <x v="8"/>
    <x v="5"/>
    <x v="0"/>
  </r>
  <r>
    <d v="2021-12-08T00:00:00"/>
    <s v="P0044"/>
    <n v="14"/>
    <x v="1"/>
    <x v="0"/>
    <n v="0"/>
    <x v="42"/>
    <x v="4"/>
    <x v="0"/>
    <n v="76"/>
    <n v="82.08"/>
    <n v="1064"/>
    <n v="1149.1199999999999"/>
    <x v="25"/>
    <x v="11"/>
    <x v="0"/>
  </r>
  <r>
    <d v="2022-03-08T00:00:00"/>
    <s v="P0044"/>
    <n v="6"/>
    <x v="1"/>
    <x v="0"/>
    <n v="0"/>
    <x v="42"/>
    <x v="4"/>
    <x v="0"/>
    <n v="76"/>
    <n v="82.08"/>
    <n v="456"/>
    <n v="492.48"/>
    <x v="25"/>
    <x v="1"/>
    <x v="1"/>
  </r>
  <r>
    <d v="2022-04-23T00:00:00"/>
    <s v="P0044"/>
    <n v="15"/>
    <x v="0"/>
    <x v="0"/>
    <n v="0"/>
    <x v="42"/>
    <x v="4"/>
    <x v="0"/>
    <n v="76"/>
    <n v="82.08"/>
    <n v="1140"/>
    <n v="1231.2"/>
    <x v="12"/>
    <x v="8"/>
    <x v="1"/>
  </r>
  <r>
    <d v="2022-05-20T00:00:00"/>
    <s v="P0044"/>
    <n v="15"/>
    <x v="0"/>
    <x v="1"/>
    <n v="0"/>
    <x v="42"/>
    <x v="4"/>
    <x v="0"/>
    <n v="76"/>
    <n v="82.08"/>
    <n v="1140"/>
    <n v="1231.2"/>
    <x v="10"/>
    <x v="9"/>
    <x v="1"/>
  </r>
  <r>
    <d v="2022-05-30T00:00:00"/>
    <s v="P0044"/>
    <n v="9"/>
    <x v="1"/>
    <x v="0"/>
    <n v="0"/>
    <x v="42"/>
    <x v="4"/>
    <x v="0"/>
    <n v="76"/>
    <n v="82.08"/>
    <n v="684"/>
    <n v="738.72"/>
    <x v="9"/>
    <x v="9"/>
    <x v="1"/>
  </r>
  <r>
    <d v="2022-07-25T00:00:00"/>
    <s v="P0044"/>
    <n v="2"/>
    <x v="1"/>
    <x v="1"/>
    <n v="0"/>
    <x v="42"/>
    <x v="4"/>
    <x v="0"/>
    <n v="76"/>
    <n v="82.08"/>
    <n v="152"/>
    <n v="164.16"/>
    <x v="8"/>
    <x v="7"/>
    <x v="1"/>
  </r>
  <r>
    <d v="2022-08-23T00:00:00"/>
    <s v="P0044"/>
    <n v="11"/>
    <x v="0"/>
    <x v="0"/>
    <n v="0"/>
    <x v="42"/>
    <x v="4"/>
    <x v="0"/>
    <n v="76"/>
    <n v="82.08"/>
    <n v="836"/>
    <n v="902.88"/>
    <x v="12"/>
    <x v="3"/>
    <x v="1"/>
  </r>
  <r>
    <d v="2022-09-27T00:00:00"/>
    <s v="P0044"/>
    <n v="9"/>
    <x v="1"/>
    <x v="1"/>
    <n v="0"/>
    <x v="42"/>
    <x v="4"/>
    <x v="0"/>
    <n v="76"/>
    <n v="82.08"/>
    <n v="684"/>
    <n v="738.72"/>
    <x v="27"/>
    <x v="4"/>
    <x v="1"/>
  </r>
  <r>
    <d v="2022-10-10T00:00:00"/>
    <s v="P0044"/>
    <n v="12"/>
    <x v="0"/>
    <x v="0"/>
    <n v="0"/>
    <x v="42"/>
    <x v="4"/>
    <x v="0"/>
    <n v="76"/>
    <n v="82.08"/>
    <n v="912"/>
    <n v="984.96"/>
    <x v="4"/>
    <x v="5"/>
    <x v="1"/>
  </r>
  <r>
    <d v="2022-10-14T00:00:00"/>
    <s v="P0044"/>
    <n v="15"/>
    <x v="2"/>
    <x v="0"/>
    <n v="0"/>
    <x v="42"/>
    <x v="4"/>
    <x v="0"/>
    <n v="76"/>
    <n v="82.08"/>
    <n v="1140"/>
    <n v="1231.2"/>
    <x v="18"/>
    <x v="5"/>
    <x v="1"/>
  </r>
  <r>
    <d v="2022-12-04T00:00:00"/>
    <s v="P0044"/>
    <n v="15"/>
    <x v="1"/>
    <x v="1"/>
    <n v="0"/>
    <x v="42"/>
    <x v="4"/>
    <x v="0"/>
    <n v="76"/>
    <n v="82.08"/>
    <n v="1140"/>
    <n v="1231.2"/>
    <x v="16"/>
    <x v="11"/>
    <x v="1"/>
  </r>
  <r>
    <d v="2022-12-19T00:00:00"/>
    <s v="P0044"/>
    <n v="7"/>
    <x v="1"/>
    <x v="0"/>
    <n v="0"/>
    <x v="42"/>
    <x v="4"/>
    <x v="0"/>
    <n v="76"/>
    <n v="82.08"/>
    <n v="532"/>
    <n v="574.55999999999995"/>
    <x v="14"/>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0343F7-1AC1-4915-BA4C-0B1FF0AC732C}" name="SalesType"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U1:AV4" firstHeaderRow="1" firstDataRow="1" firstDataCol="1"/>
  <pivotFields count="16">
    <pivotField showAll="0"/>
    <pivotField showAll="0"/>
    <pivotField showAll="0"/>
    <pivotField axis="axisRow" showAll="0">
      <items count="4">
        <item x="1"/>
        <item x="0"/>
        <item x="2"/>
        <item t="default"/>
      </items>
    </pivotField>
    <pivotField showAll="0">
      <items count="3">
        <item x="1"/>
        <item x="0"/>
        <item t="default"/>
      </items>
    </pivotField>
    <pivotField numFmtId="164" showAll="0"/>
    <pivotField showAll="0"/>
    <pivotField showAll="0"/>
    <pivotField showAll="0" includeNewItemsInFilter="1"/>
    <pivotField showAll="0"/>
    <pivotField numFmtId="166" showAll="0"/>
    <pivotField numFmtId="166" showAll="0"/>
    <pivotField dataField="1" numFmtId="166" showAll="0"/>
    <pivotField showAll="0"/>
    <pivotField showAll="0">
      <items count="13">
        <item x="0"/>
        <item x="6"/>
        <item x="1"/>
        <item x="8"/>
        <item x="9"/>
        <item x="2"/>
        <item x="7"/>
        <item x="3"/>
        <item x="4"/>
        <item x="5"/>
        <item x="10"/>
        <item x="11"/>
        <item t="default"/>
      </items>
    </pivotField>
    <pivotField showAll="0">
      <items count="3">
        <item x="0"/>
        <item x="1"/>
        <item t="default"/>
      </items>
    </pivotField>
  </pivotFields>
  <rowFields count="1">
    <field x="3"/>
  </rowFields>
  <rowItems count="3">
    <i>
      <x/>
    </i>
    <i>
      <x v="1"/>
    </i>
    <i>
      <x v="2"/>
    </i>
  </rowItems>
  <colItems count="1">
    <i/>
  </colItems>
  <dataFields count="1">
    <dataField name="Sum of TOTAL SELLING VALUE2" fld="12" baseField="0" baseItem="0" numFmtId="166"/>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3" count="1" selected="0">
            <x v="0"/>
          </reference>
        </references>
      </pivotArea>
    </chartFormat>
    <chartFormat chart="12" format="10">
      <pivotArea type="data" outline="0" fieldPosition="0">
        <references count="2">
          <reference field="4294967294" count="1" selected="0">
            <x v="0"/>
          </reference>
          <reference field="3" count="1" selected="0">
            <x v="1"/>
          </reference>
        </references>
      </pivotArea>
    </chartFormat>
    <chartFormat chart="12"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4AA7C8-C613-4A7C-B2D6-5EA6E728C625}" name="Totalselling"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B32" firstHeaderRow="1" firstDataRow="1" firstDataCol="1"/>
  <pivotFields count="16">
    <pivotField showAll="0"/>
    <pivotField showAll="0"/>
    <pivotField showAll="0"/>
    <pivotField showAll="0">
      <items count="4">
        <item x="1"/>
        <item x="0"/>
        <item x="2"/>
        <item t="default"/>
      </items>
    </pivotField>
    <pivotField showAll="0">
      <items count="3">
        <item x="1"/>
        <item x="0"/>
        <item t="default"/>
      </items>
    </pivotField>
    <pivotField numFmtId="164" showAll="0"/>
    <pivotField showAll="0"/>
    <pivotField showAll="0"/>
    <pivotField showAll="0" includeNewItemsInFilter="1"/>
    <pivotField showAll="0"/>
    <pivotField numFmtId="166" showAll="0"/>
    <pivotField numFmtId="166" showAll="0"/>
    <pivotField dataField="1" numFmtId="166" showAll="0"/>
    <pivotField axis="axisRow" showAll="0">
      <items count="32">
        <item x="2"/>
        <item x="15"/>
        <item x="20"/>
        <item x="16"/>
        <item x="11"/>
        <item x="13"/>
        <item x="23"/>
        <item x="25"/>
        <item x="1"/>
        <item x="4"/>
        <item x="5"/>
        <item x="29"/>
        <item x="17"/>
        <item x="18"/>
        <item x="26"/>
        <item x="21"/>
        <item x="6"/>
        <item x="22"/>
        <item x="14"/>
        <item x="10"/>
        <item x="19"/>
        <item x="7"/>
        <item x="12"/>
        <item x="28"/>
        <item x="8"/>
        <item x="0"/>
        <item x="27"/>
        <item x="24"/>
        <item x="30"/>
        <item x="9"/>
        <item x="3"/>
        <item t="default"/>
      </items>
    </pivotField>
    <pivotField showAll="0">
      <items count="13">
        <item x="0"/>
        <item x="6"/>
        <item x="1"/>
        <item x="8"/>
        <item x="9"/>
        <item x="2"/>
        <item x="7"/>
        <item x="3"/>
        <item x="4"/>
        <item x="5"/>
        <item x="10"/>
        <item x="11"/>
        <item t="default"/>
      </items>
    </pivotField>
    <pivotField showAll="0">
      <items count="3">
        <item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VALUE2" fld="12" baseField="0"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551281-AB81-47D1-ACA4-36175998C114}" name="Paymentmode"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X1:AY3" firstHeaderRow="1" firstDataRow="1" firstDataCol="1"/>
  <pivotFields count="16">
    <pivotField showAll="0"/>
    <pivotField showAll="0"/>
    <pivotField showAll="0"/>
    <pivotField showAll="0">
      <items count="4">
        <item x="1"/>
        <item x="0"/>
        <item x="2"/>
        <item t="default"/>
      </items>
    </pivotField>
    <pivotField axis="axisRow" showAll="0">
      <items count="3">
        <item x="1"/>
        <item x="0"/>
        <item t="default"/>
      </items>
    </pivotField>
    <pivotField numFmtId="164" showAll="0"/>
    <pivotField showAll="0"/>
    <pivotField showAll="0"/>
    <pivotField showAll="0" includeNewItemsInFilter="1"/>
    <pivotField showAll="0"/>
    <pivotField numFmtId="166" showAll="0"/>
    <pivotField numFmtId="166" showAll="0"/>
    <pivotField dataField="1" numFmtId="166" showAll="0"/>
    <pivotField showAll="0"/>
    <pivotField showAll="0">
      <items count="13">
        <item x="0"/>
        <item x="6"/>
        <item x="1"/>
        <item x="8"/>
        <item x="9"/>
        <item x="2"/>
        <item x="7"/>
        <item x="3"/>
        <item x="4"/>
        <item x="5"/>
        <item x="10"/>
        <item x="11"/>
        <item t="default"/>
      </items>
    </pivotField>
    <pivotField showAll="0">
      <items count="3">
        <item x="0"/>
        <item x="1"/>
        <item t="default"/>
      </items>
    </pivotField>
  </pivotFields>
  <rowFields count="1">
    <field x="4"/>
  </rowFields>
  <rowItems count="2">
    <i>
      <x/>
    </i>
    <i>
      <x v="1"/>
    </i>
  </rowItems>
  <colItems count="1">
    <i/>
  </colItems>
  <dataFields count="1">
    <dataField name="Sum of TOTAL SELLING VALUE2" fld="12" baseField="0" baseItem="0" numFmtId="166"/>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359448-AD15-4FC8-8555-012ACDCA9BF2}" name="Productwise" cacheId="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V3:Y46" firstHeaderRow="0" firstDataRow="1" firstDataCol="2"/>
  <pivotFields count="16">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items count="4">
        <item x="1"/>
        <item x="0"/>
        <item x="2"/>
        <item t="default"/>
      </items>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axis="axisRow" compact="0" outline="0" showAll="0" defaultSubtotal="0">
      <items count="87">
        <item m="1" x="59"/>
        <item m="1" x="72"/>
        <item m="1" x="49"/>
        <item m="1" x="46"/>
        <item m="1" x="67"/>
        <item m="1" x="58"/>
        <item m="1" x="79"/>
        <item m="1" x="68"/>
        <item m="1" x="80"/>
        <item m="1" x="63"/>
        <item m="1" x="74"/>
        <item m="1" x="78"/>
        <item m="1" x="45"/>
        <item m="1" x="52"/>
        <item m="1" x="70"/>
        <item m="1" x="64"/>
        <item m="1" x="82"/>
        <item m="1" x="73"/>
        <item m="1" x="83"/>
        <item m="1" x="57"/>
        <item m="1" x="75"/>
        <item m="1" x="65"/>
        <item m="1" x="55"/>
        <item m="1" x="43"/>
        <item m="1" x="50"/>
        <item m="1" x="85"/>
        <item m="1" x="69"/>
        <item m="1" x="76"/>
        <item m="1" x="62"/>
        <item m="1" x="71"/>
        <item m="1" x="48"/>
        <item m="1" x="61"/>
        <item m="1" x="81"/>
        <item m="1" x="56"/>
        <item m="1" x="47"/>
        <item m="1" x="86"/>
        <item m="1" x="51"/>
        <item m="1" x="44"/>
        <item m="1" x="77"/>
        <item m="1" x="60"/>
        <item m="1" x="84"/>
        <item m="1" x="53"/>
        <item m="1" x="66"/>
        <item m="1" x="54"/>
        <item sd="0" x="15"/>
        <item x="1"/>
        <item x="2"/>
        <item x="3"/>
        <item x="4"/>
        <item x="5"/>
        <item x="6"/>
        <item x="7"/>
        <item x="8"/>
        <item x="9"/>
        <item x="10"/>
        <item x="11"/>
        <item x="12"/>
        <item x="13"/>
        <item x="14"/>
        <item x="0"/>
        <item x="16"/>
        <item x="17"/>
        <item x="18"/>
        <item x="19"/>
        <item x="20"/>
        <item x="21"/>
        <item x="22"/>
        <item x="23"/>
        <item x="24"/>
        <item x="25"/>
        <item x="26"/>
        <item x="27"/>
        <item x="28"/>
        <item x="29"/>
        <item x="30"/>
        <item x="31"/>
        <item x="32"/>
        <item x="33"/>
        <item x="34"/>
        <item x="35"/>
        <item x="36"/>
        <item x="37"/>
        <item x="38"/>
        <item x="39"/>
        <item x="40"/>
        <item x="41"/>
        <item x="4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ncludeNewItemsInFilter="1">
      <items count="5">
        <item x="2"/>
        <item x="0"/>
        <item x="1"/>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dataField="1"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0"/>
        <item x="6"/>
        <item x="1"/>
        <item x="8"/>
        <item x="9"/>
        <item x="2"/>
        <item x="7"/>
        <item x="3"/>
        <item x="4"/>
        <item x="5"/>
        <item x="10"/>
        <item x="11"/>
        <item t="default"/>
      </items>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s>
  <rowFields count="2">
    <field x="6"/>
    <field x="8"/>
  </rowFields>
  <rowItems count="43">
    <i>
      <x v="44"/>
    </i>
    <i>
      <x v="45"/>
      <x v="1"/>
    </i>
    <i>
      <x v="46"/>
      <x v="1"/>
    </i>
    <i>
      <x v="47"/>
      <x v="2"/>
    </i>
    <i>
      <x v="48"/>
      <x/>
    </i>
    <i>
      <x v="49"/>
      <x v="1"/>
    </i>
    <i>
      <x v="50"/>
      <x v="2"/>
    </i>
    <i>
      <x v="51"/>
      <x v="1"/>
    </i>
    <i>
      <x v="52"/>
      <x v="3"/>
    </i>
    <i>
      <x v="53"/>
      <x/>
    </i>
    <i>
      <x v="54"/>
      <x v="2"/>
    </i>
    <i>
      <x v="55"/>
      <x v="1"/>
    </i>
    <i>
      <x v="56"/>
      <x v="1"/>
    </i>
    <i>
      <x v="57"/>
      <x v="1"/>
    </i>
    <i>
      <x v="58"/>
      <x v="3"/>
    </i>
    <i>
      <x v="59"/>
      <x v="1"/>
    </i>
    <i>
      <x v="60"/>
      <x/>
    </i>
    <i>
      <x v="61"/>
      <x v="3"/>
    </i>
    <i>
      <x v="62"/>
      <x/>
    </i>
    <i>
      <x v="63"/>
      <x v="2"/>
    </i>
    <i>
      <x v="64"/>
      <x/>
    </i>
    <i>
      <x v="65"/>
      <x/>
    </i>
    <i>
      <x v="66"/>
      <x/>
    </i>
    <i>
      <x v="67"/>
      <x/>
    </i>
    <i>
      <x v="68"/>
      <x v="3"/>
    </i>
    <i>
      <x v="69"/>
      <x v="3"/>
    </i>
    <i>
      <x v="70"/>
      <x v="2"/>
    </i>
    <i>
      <x v="71"/>
      <x v="3"/>
    </i>
    <i>
      <x v="72"/>
      <x v="2"/>
    </i>
    <i>
      <x v="73"/>
      <x/>
    </i>
    <i>
      <x v="74"/>
      <x v="1"/>
    </i>
    <i>
      <x v="75"/>
      <x v="1"/>
    </i>
    <i>
      <x v="76"/>
      <x v="2"/>
    </i>
    <i>
      <x v="77"/>
      <x v="3"/>
    </i>
    <i>
      <x v="78"/>
      <x v="1"/>
    </i>
    <i>
      <x v="79"/>
      <x v="1"/>
    </i>
    <i>
      <x v="80"/>
      <x v="1"/>
    </i>
    <i>
      <x v="81"/>
      <x v="3"/>
    </i>
    <i>
      <x v="82"/>
      <x v="1"/>
    </i>
    <i>
      <x v="83"/>
      <x/>
    </i>
    <i>
      <x v="84"/>
      <x/>
    </i>
    <i>
      <x v="85"/>
      <x v="1"/>
    </i>
    <i>
      <x v="86"/>
      <x v="1"/>
    </i>
  </rowItems>
  <colFields count="1">
    <field x="-2"/>
  </colFields>
  <colItems count="2">
    <i>
      <x/>
    </i>
    <i i="1">
      <x v="1"/>
    </i>
  </colItems>
  <dataFields count="2">
    <dataField name="Sum of TOTAL SELLING VALUE2" fld="12" baseField="0" baseItem="0" numFmtId="166"/>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9D884B-710A-419A-9E52-1CC4E1BCAF48}" name="Monthly"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I13" firstHeaderRow="0" firstDataRow="1" firstDataCol="1"/>
  <pivotFields count="16">
    <pivotField showAll="0"/>
    <pivotField showAll="0"/>
    <pivotField showAll="0"/>
    <pivotField showAll="0">
      <items count="4">
        <item x="1"/>
        <item x="0"/>
        <item x="2"/>
        <item t="default"/>
      </items>
    </pivotField>
    <pivotField showAll="0">
      <items count="3">
        <item x="1"/>
        <item x="0"/>
        <item t="default"/>
      </items>
    </pivotField>
    <pivotField numFmtId="164" showAll="0"/>
    <pivotField showAll="0"/>
    <pivotField showAll="0"/>
    <pivotField showAll="0" includeNewItemsInFilter="1"/>
    <pivotField showAll="0"/>
    <pivotField numFmtId="166" showAll="0"/>
    <pivotField dataField="1" numFmtId="166" showAll="0"/>
    <pivotField dataField="1" numFmtId="166" showAll="0"/>
    <pivotField showAll="0"/>
    <pivotField axis="axisRow" showAll="0">
      <items count="13">
        <item x="0"/>
        <item x="6"/>
        <item x="1"/>
        <item x="8"/>
        <item x="9"/>
        <item x="2"/>
        <item x="7"/>
        <item x="3"/>
        <item x="4"/>
        <item x="5"/>
        <item x="10"/>
        <item x="11"/>
        <item t="default"/>
      </items>
    </pivotField>
    <pivotField showAll="0">
      <items count="3">
        <item x="0"/>
        <item x="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SELLING VALUE2" fld="12" baseField="0" baseItem="0" numFmtId="166"/>
    <dataField name="Sum of TOTAL BUYING VALUE" fld="1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DD9C2D-7707-4EA8-9EE1-7CAA2A07EFE5}" name="Categorywise"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L1:AM6" firstHeaderRow="1" firstDataRow="1" firstDataCol="1"/>
  <pivotFields count="16">
    <pivotField showAll="0"/>
    <pivotField showAll="0"/>
    <pivotField showAll="0"/>
    <pivotField showAll="0">
      <items count="4">
        <item x="1"/>
        <item x="0"/>
        <item x="2"/>
        <item t="default"/>
      </items>
    </pivotField>
    <pivotField showAll="0">
      <items count="3">
        <item x="1"/>
        <item x="0"/>
        <item t="default"/>
      </items>
    </pivotField>
    <pivotField numFmtId="164" showAll="0"/>
    <pivotField showAll="0"/>
    <pivotField axis="axisRow" showAll="0">
      <items count="6">
        <item x="0"/>
        <item x="1"/>
        <item x="2"/>
        <item x="3"/>
        <item x="4"/>
        <item t="default"/>
      </items>
    </pivotField>
    <pivotField showAll="0" includeNewItemsInFilter="1"/>
    <pivotField showAll="0"/>
    <pivotField numFmtId="166" showAll="0"/>
    <pivotField numFmtId="166" showAll="0"/>
    <pivotField dataField="1" numFmtId="166" showAll="0"/>
    <pivotField showAll="0"/>
    <pivotField showAll="0">
      <items count="13">
        <item x="0"/>
        <item x="6"/>
        <item x="1"/>
        <item x="8"/>
        <item x="9"/>
        <item x="2"/>
        <item x="7"/>
        <item x="3"/>
        <item x="4"/>
        <item x="5"/>
        <item x="10"/>
        <item x="11"/>
        <item t="default"/>
      </items>
    </pivotField>
    <pivotField showAll="0">
      <items count="3">
        <item x="0"/>
        <item x="1"/>
        <item t="default"/>
      </items>
    </pivotField>
  </pivotFields>
  <rowFields count="1">
    <field x="7"/>
  </rowFields>
  <rowItems count="5">
    <i>
      <x/>
    </i>
    <i>
      <x v="1"/>
    </i>
    <i>
      <x v="2"/>
    </i>
    <i>
      <x v="3"/>
    </i>
    <i>
      <x v="4"/>
    </i>
  </rowItems>
  <colItems count="1">
    <i/>
  </colItems>
  <dataFields count="1">
    <dataField name="Sum of TOTAL SELLING VALUE2"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CF8D02-8CCB-4D01-9E7E-DDA1CBD60FF5}" name="TotalSa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2" firstHeaderRow="0" firstDataRow="1" firstDataCol="0"/>
  <pivotFields count="16">
    <pivotField showAll="0"/>
    <pivotField showAll="0"/>
    <pivotField showAll="0"/>
    <pivotField showAll="0">
      <items count="4">
        <item x="1"/>
        <item x="0"/>
        <item x="2"/>
        <item t="default"/>
      </items>
    </pivotField>
    <pivotField showAll="0">
      <items count="3">
        <item x="1"/>
        <item x="0"/>
        <item t="default"/>
      </items>
    </pivotField>
    <pivotField numFmtId="164" showAll="0"/>
    <pivotField showAll="0"/>
    <pivotField showAll="0"/>
    <pivotField showAll="0" includeNewItemsInFilter="1"/>
    <pivotField showAll="0"/>
    <pivotField numFmtId="166" showAll="0"/>
    <pivotField dataField="1" numFmtId="166" showAll="0"/>
    <pivotField dataField="1" numFmtId="166" showAll="0"/>
    <pivotField showAll="0"/>
    <pivotField showAll="0">
      <items count="13">
        <item x="0"/>
        <item x="6"/>
        <item x="1"/>
        <item x="8"/>
        <item x="9"/>
        <item x="2"/>
        <item x="7"/>
        <item x="3"/>
        <item x="4"/>
        <item x="5"/>
        <item x="10"/>
        <item x="11"/>
        <item t="default"/>
      </items>
    </pivotField>
    <pivotField showAll="0">
      <items count="3">
        <item x="0"/>
        <item x="1"/>
        <item t="default"/>
      </items>
    </pivotField>
  </pivotFields>
  <rowItems count="1">
    <i/>
  </rowItems>
  <colFields count="1">
    <field x="-2"/>
  </colFields>
  <colItems count="2">
    <i>
      <x/>
    </i>
    <i i="1">
      <x v="1"/>
    </i>
  </colItems>
  <dataFields count="2">
    <dataField name="Sum of TOTAL SELLING VALUE2" fld="12" baseField="0" baseItem="0" numFmtId="166"/>
    <dataField name="Sum of TOTAL BUYING VALUE" fld="11" baseField="0" baseItem="0" numFmtId="166"/>
  </dataFields>
  <formats count="1">
    <format dxfId="1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
  <rv s="0">
    <v>0</v>
    <v>5</v>
  </rv>
  <rv s="0">
    <v>1</v>
    <v>5</v>
  </rv>
  <rv s="0">
    <v>2</v>
    <v>5</v>
  </rv>
  <rv s="0">
    <v>3</v>
    <v>5</v>
  </rv>
  <rv s="0">
    <v>4</v>
    <v>5</v>
  </rv>
  <rv s="0">
    <v>5</v>
    <v>5</v>
  </rv>
  <rv s="0">
    <v>6</v>
    <v>5</v>
  </rv>
  <rv s="0">
    <v>7</v>
    <v>5</v>
  </rv>
  <rv s="0">
    <v>8</v>
    <v>5</v>
  </rv>
  <rv s="0">
    <v>9</v>
    <v>5</v>
  </rv>
  <rv s="0">
    <v>10</v>
    <v>5</v>
  </rv>
  <rv s="0">
    <v>11</v>
    <v>5</v>
  </rv>
  <rv s="0">
    <v>12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B9557EF-22F7-455C-92F6-256FFECA5AB2}" sourceName="PAYMENT MODE">
  <pivotTables>
    <pivotTable tabId="3" name="Totalselling"/>
    <pivotTable tabId="3" name="Categorywise"/>
    <pivotTable tabId="3" name="Monthly"/>
    <pivotTable tabId="3" name="Productwise"/>
    <pivotTable tabId="3" name="SalesType"/>
    <pivotTable tabId="3" name="TotalSale"/>
  </pivotTables>
  <data>
    <tabular pivotCacheId="104609387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8087992-FFAF-428B-BBF0-9642CFD5143D}" sourceName="MONTH">
  <pivotTables>
    <pivotTable tabId="3" name="Totalselling"/>
    <pivotTable tabId="3" name="Categorywise"/>
    <pivotTable tabId="3" name="Paymentmode"/>
    <pivotTable tabId="3" name="Productwise"/>
    <pivotTable tabId="3" name="SalesType"/>
    <pivotTable tabId="3" name="TotalSale"/>
  </pivotTables>
  <data>
    <tabular pivotCacheId="1046093878">
      <items count="12">
        <i x="0" s="1"/>
        <i x="6" s="1"/>
        <i x="1" s="1"/>
        <i x="8" s="1"/>
        <i x="9" s="1"/>
        <i x="2" s="1"/>
        <i x="7" s="1"/>
        <i x="3" s="1"/>
        <i x="4" s="1"/>
        <i x="5"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E3DECC3-30FC-4749-9921-3D6322F57513}" sourceName="YEAR">
  <pivotTables>
    <pivotTable tabId="3" name="Totalselling"/>
    <pivotTable tabId="3" name="Categorywise"/>
    <pivotTable tabId="3" name="Monthly"/>
    <pivotTable tabId="3" name="Paymentmode"/>
    <pivotTable tabId="3" name="Productwise"/>
    <pivotTable tabId="3" name="SalesType"/>
    <pivotTable tabId="3" name="TotalSale"/>
  </pivotTables>
  <data>
    <tabular pivotCacheId="104609387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DFCC90F6-59DE-4DED-AB23-62686778F167}" sourceName="SALE TYPE">
  <pivotTables>
    <pivotTable tabId="3" name="Totalselling"/>
    <pivotTable tabId="3" name="Categorywise"/>
    <pivotTable tabId="3" name="Monthly"/>
    <pivotTable tabId="3" name="Paymentmode"/>
    <pivotTable tabId="3" name="Productwise"/>
    <pivotTable tabId="3" name="TotalSale"/>
  </pivotTables>
  <data>
    <tabular pivotCacheId="104609387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4334DA-59D0-4778-8BBF-FC2CFE8621AF}" cache="Slicer_PAYMENT_MODE" caption="PAYMENT MODE" rowHeight="241300"/>
  <slicer name="MONTH" xr10:uid="{5C25FDD0-00C2-4DD7-84EB-61BC7F1E6C14}" cache="Slicer_MONTH" caption="MONTH" startItem="4" rowHeight="241300"/>
  <slicer name="YEAR" xr10:uid="{BD8A21CE-D691-451A-8BDA-9CE0C529BA76}" cache="Slicer_YEAR" caption="YEAR" rowHeight="241300"/>
  <slicer name="SALE TYPE" xr10:uid="{A7720E81-4B87-4623-94B7-24F4ACF14E7F}" cache="Slicer_SALE_TYPE" caption="SALE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1" xr10:uid="{AC047713-253F-4892-A010-48838FE5516C}" cache="Slicer_PAYMENT_MODE" caption="PAYMENT MODE" columnCount="2" style="SLICER " rowHeight="274320"/>
  <slicer name="MONTH 1" xr10:uid="{A716394F-2EF6-4683-8501-2E319D4F1F26}" cache="Slicer_MONTH" caption="MONTH" style="SLICER " rowHeight="241300"/>
  <slicer name="YEAR 1" xr10:uid="{6E4E2FD6-0251-4541-B97C-4D2526ABCC55}" cache="Slicer_YEAR" caption="YEAR" style="SLICER " rowHeight="241300"/>
  <slicer name="SALE TYPE 1" xr10:uid="{EEA89F45-1658-49F2-BFD9-FD1D26060CB5}" cache="Slicer_SALE_TYPE" caption="SALE TYPE" columnCount="3" style="SLICER "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8" totalsRowShown="0" headerRowDxfId="27" dataDxfId="25" headerRowBorderDxfId="26">
  <autoFilter ref="A1:F48" xr:uid="{DE6FA1E2-6EE8-430A-AF62-020400F3E926}"/>
  <tableColumns count="6">
    <tableColumn id="2" xr3:uid="{0CD8204C-FF97-42A2-BB4D-BBDEEA9D1B7B}" name="PRODUCT ID" dataDxfId="24"/>
    <tableColumn id="8" xr3:uid="{31C0CF60-F363-4424-AD7C-6C5C895414A9}" name="PRODUCT"/>
    <tableColumn id="3" xr3:uid="{FEA9A0A4-A0D7-45FA-BD75-4D9EBBD09441}" name="CATEGORY" dataDxfId="23"/>
    <tableColumn id="4" xr3:uid="{3BDFD3DA-79CD-4B0E-9F98-1F406523093B}" name="UOM" dataDxfId="22"/>
    <tableColumn id="5" xr3:uid="{C286276F-25D5-4D9D-9759-32EF67A133BE}" name="BUYING PRIZE" dataDxfId="21"/>
    <tableColumn id="6" xr3:uid="{BFC92544-6510-4B40-ABEE-FD6A4B0302D7}" name="SELLING PRICE" dataDxfId="20"/>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31" totalsRowShown="0" headerRowDxfId="18" dataDxfId="16" headerRowBorderDxfId="17">
  <autoFilter ref="A1:P531" xr:uid="{60351B27-4213-4B50-AF1E-6DD234ED1CD8}"/>
  <sortState xmlns:xlrd2="http://schemas.microsoft.com/office/spreadsheetml/2017/richdata2" ref="A2:P529">
    <sortCondition ref="G1:G529"/>
  </sortState>
  <tableColumns count="16">
    <tableColumn id="1" xr3:uid="{7E2D9722-C99A-4D79-AD8A-A4AF24D31B15}" name="DATE" dataDxfId="15"/>
    <tableColumn id="3" xr3:uid="{1B687DA1-746A-409E-8132-464ADA2D65F7}" name="PRODUCT ID" dataDxfId="14"/>
    <tableColumn id="2" xr3:uid="{3D21C161-3520-4EEB-95C2-BC89A67F811B}" name="QUANTITY" dataDxfId="13"/>
    <tableColumn id="4" xr3:uid="{51AFA112-3989-4C7A-B537-003512753602}" name="SALE TYPE" dataDxfId="12"/>
    <tableColumn id="5" xr3:uid="{057B8FDA-60FB-4816-999C-2030B688B9CF}" name="PAYMENT MODE" dataDxfId="11"/>
    <tableColumn id="6" xr3:uid="{A77A9445-20AF-4122-92EB-C3706E536AB4}" name="DISCOUNT %" dataDxfId="10"/>
    <tableColumn id="7" xr3:uid="{07F0ED56-186D-4329-B665-FECE03F8808A}" name="PRODUCT " dataDxfId="9">
      <calculatedColumnFormula>VLOOKUP(InputData[[#This Row],[PRODUCT ID]],MasterData[],2,0)</calculatedColumnFormula>
    </tableColumn>
    <tableColumn id="9" xr3:uid="{9675CDD9-525B-41FD-84E9-8EFF2C9377F7}" name="CATEGORY" dataDxfId="8">
      <calculatedColumnFormula>VLOOKUP(InputData[[#This Row],[PRODUCT ID]],MasterData[],3,0)</calculatedColumnFormula>
    </tableColumn>
    <tableColumn id="10" xr3:uid="{D51F541F-78FD-4046-8665-D956DED37FFB}" name="UOM" dataDxfId="7">
      <calculatedColumnFormula>VLOOKUP(InputData[[#This Row],[PRODUCT ID]],MasterData[],4,0)</calculatedColumnFormula>
    </tableColumn>
    <tableColumn id="11" xr3:uid="{D5F9CBEA-5A2B-4FFF-BC60-EF8E4FA0DB60}" name="BUYING PRIZE" dataDxfId="6">
      <calculatedColumnFormula>VLOOKUP(InputData[[#This Row],[PRODUCT ID]],MasterData[],5,0)</calculatedColumnFormula>
    </tableColumn>
    <tableColumn id="12" xr3:uid="{480A4C8D-94BA-4B66-AE54-FC964F5DA608}" name="SELLING PRICE" dataDxfId="5">
      <calculatedColumnFormula>VLOOKUP(InputData[[#This Row],[PRODUCT ID]],MasterData[],6,0)</calculatedColumnFormula>
    </tableColumn>
    <tableColumn id="13" xr3:uid="{EA2C654A-A232-42D9-BEE3-B8BD3FF5E04B}" name="TOTAL BUYING VALUE" dataDxfId="4">
      <calculatedColumnFormula>InputData[[#This Row],[BUYING PRIZE]]*InputData[[#This Row],[QUANTITY]]</calculatedColumnFormula>
    </tableColumn>
    <tableColumn id="14" xr3:uid="{240C2194-6EC4-4D1F-9E53-BD33D2B3FE7A}" name="TOTAL SELLING VALUE2" dataDxfId="3">
      <calculatedColumnFormula>InputData[[#This Row],[SELLING PRICE]]*InputData[[#This Row],[QUANTITY]]*(1-InputData[[#This Row],[DISCOUNT %]])</calculatedColumnFormula>
    </tableColumn>
    <tableColumn id="15" xr3:uid="{A4207B74-6013-448F-A4E9-2BCEB2F1D414}" name="DAY" dataDxfId="2">
      <calculatedColumnFormula>DAY(InputData[[#This Row],[DATE]])</calculatedColumnFormula>
    </tableColumn>
    <tableColumn id="16" xr3:uid="{CDFF3A01-C10F-4353-82D6-FB9C5E94DB31}" name="MONTH" dataDxfId="1">
      <calculatedColumnFormula>TEXT(InputData[[#This Row],[DATE]],"MMM")</calculatedColumnFormula>
    </tableColumn>
    <tableColumn id="17" xr3:uid="{81DC4E13-3578-49BC-B163-8C7B6D10294F}" name="YEAR" dataDxfId="0">
      <calculatedColumnFormula>YEAR(InputData[[#This Row],[DATE]])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Voilet">
      <a:dk1>
        <a:sysClr val="windowText" lastClr="000000"/>
      </a:dk1>
      <a:lt1>
        <a:sysClr val="window" lastClr="FFFFFF"/>
      </a:lt1>
      <a:dk2>
        <a:srgbClr val="44546A"/>
      </a:dk2>
      <a:lt2>
        <a:srgbClr val="E7E6E6"/>
      </a:lt2>
      <a:accent1>
        <a:srgbClr val="C00000"/>
      </a:accent1>
      <a:accent2>
        <a:srgbClr val="FFC000"/>
      </a:accent2>
      <a:accent3>
        <a:srgbClr val="00B050"/>
      </a:accent3>
      <a:accent4>
        <a:srgbClr val="0070C0"/>
      </a:accent4>
      <a:accent5>
        <a:srgbClr val="002060"/>
      </a:accent5>
      <a:accent6>
        <a:srgbClr val="7030A0"/>
      </a:accent6>
      <a:hlink>
        <a:srgbClr val="FF0000"/>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13" Type="http://schemas.openxmlformats.org/officeDocument/2006/relationships/ctrlProp" Target="../ctrlProps/ctrlProp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2.xml"/><Relationship Id="rId5" Type="http://schemas.openxmlformats.org/officeDocument/2006/relationships/pivotTable" Target="../pivotTables/pivotTable5.xml"/><Relationship Id="rId10" Type="http://schemas.openxmlformats.org/officeDocument/2006/relationships/ctrlProp" Target="../ctrlProps/ctrlProp1.xml"/><Relationship Id="rId4" Type="http://schemas.openxmlformats.org/officeDocument/2006/relationships/pivotTable" Target="../pivotTables/pivotTable4.xml"/><Relationship Id="rId9" Type="http://schemas.openxmlformats.org/officeDocument/2006/relationships/vmlDrawing" Target="../drawings/vmlDrawing1.v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5.xml"/><Relationship Id="rId7"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ctrlProp" Target="../ctrlProps/ctrlProp8.xml"/><Relationship Id="rId5" Type="http://schemas.openxmlformats.org/officeDocument/2006/relationships/ctrlProp" Target="../ctrlProps/ctrlProp7.xml"/><Relationship Id="rId4" Type="http://schemas.openxmlformats.org/officeDocument/2006/relationships/ctrlProp" Target="../ctrlProps/ctrlProp6.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codeName="Sheet2">
    <tabColor theme="5" tint="0.59999389629810485"/>
  </sheetPr>
  <dimension ref="A1:F48"/>
  <sheetViews>
    <sheetView topLeftCell="A21" workbookViewId="0">
      <selection activeCell="A48" sqref="A48"/>
    </sheetView>
  </sheetViews>
  <sheetFormatPr defaultRowHeight="15" x14ac:dyDescent="0.25"/>
  <cols>
    <col min="1" max="1" width="15.85546875" bestFit="1" customWidth="1"/>
    <col min="2" max="2" width="14.42578125" bestFit="1" customWidth="1"/>
    <col min="3" max="3" width="9.85546875" bestFit="1" customWidth="1"/>
    <col min="4" max="4" width="17.28515625" bestFit="1" customWidth="1"/>
    <col min="5" max="5" width="17.7109375" bestFit="1" customWidth="1"/>
    <col min="6" max="6" width="12.42578125" customWidth="1"/>
  </cols>
  <sheetData>
    <row r="1" spans="1:6" ht="15.75" thickBot="1" x14ac:dyDescent="0.3">
      <c r="A1" s="1" t="s">
        <v>0</v>
      </c>
      <c r="B1" s="1" t="s">
        <v>1</v>
      </c>
      <c r="C1" s="1" t="s">
        <v>2</v>
      </c>
      <c r="D1" s="1" t="s">
        <v>3</v>
      </c>
      <c r="E1" s="1" t="s">
        <v>4</v>
      </c>
      <c r="F1" s="1" t="s">
        <v>5</v>
      </c>
    </row>
    <row r="2" spans="1:6" x14ac:dyDescent="0.25">
      <c r="A2" t="s">
        <v>6</v>
      </c>
      <c r="B2" t="s">
        <v>158</v>
      </c>
      <c r="C2" t="s">
        <v>8</v>
      </c>
      <c r="D2" t="s">
        <v>9</v>
      </c>
      <c r="E2">
        <v>98</v>
      </c>
      <c r="F2">
        <v>103.88</v>
      </c>
    </row>
    <row r="3" spans="1:6" x14ac:dyDescent="0.25">
      <c r="A3" t="s">
        <v>10</v>
      </c>
      <c r="B3" t="s">
        <v>144</v>
      </c>
      <c r="C3" t="s">
        <v>8</v>
      </c>
      <c r="D3" t="s">
        <v>9</v>
      </c>
      <c r="E3">
        <v>105</v>
      </c>
      <c r="F3">
        <v>142.80000000000001</v>
      </c>
    </row>
    <row r="4" spans="1:6" x14ac:dyDescent="0.25">
      <c r="A4" t="s">
        <v>12</v>
      </c>
      <c r="B4" t="s">
        <v>145</v>
      </c>
      <c r="C4" t="s">
        <v>8</v>
      </c>
      <c r="D4" t="s">
        <v>9</v>
      </c>
      <c r="E4">
        <v>71</v>
      </c>
      <c r="F4">
        <v>80.94</v>
      </c>
    </row>
    <row r="5" spans="1:6" x14ac:dyDescent="0.25">
      <c r="A5" t="s">
        <v>14</v>
      </c>
      <c r="B5" t="s">
        <v>146</v>
      </c>
      <c r="C5" t="s">
        <v>8</v>
      </c>
      <c r="D5" t="s">
        <v>109</v>
      </c>
      <c r="E5">
        <v>44</v>
      </c>
      <c r="F5">
        <v>48.84</v>
      </c>
    </row>
    <row r="6" spans="1:6" x14ac:dyDescent="0.25">
      <c r="A6" t="s">
        <v>16</v>
      </c>
      <c r="B6" t="s">
        <v>147</v>
      </c>
      <c r="C6" t="s">
        <v>8</v>
      </c>
      <c r="D6" t="s">
        <v>110</v>
      </c>
      <c r="E6">
        <v>133</v>
      </c>
      <c r="F6">
        <v>155.61000000000001</v>
      </c>
    </row>
    <row r="7" spans="1:6" x14ac:dyDescent="0.25">
      <c r="A7" t="s">
        <v>18</v>
      </c>
      <c r="B7" t="s">
        <v>148</v>
      </c>
      <c r="C7" t="s">
        <v>8</v>
      </c>
      <c r="D7" t="s">
        <v>9</v>
      </c>
      <c r="E7">
        <v>75</v>
      </c>
      <c r="F7">
        <v>85.5</v>
      </c>
    </row>
    <row r="8" spans="1:6" x14ac:dyDescent="0.25">
      <c r="A8" t="s">
        <v>20</v>
      </c>
      <c r="B8" t="s">
        <v>149</v>
      </c>
      <c r="C8" t="s">
        <v>8</v>
      </c>
      <c r="D8" t="s">
        <v>109</v>
      </c>
      <c r="E8">
        <v>43</v>
      </c>
      <c r="F8">
        <v>47.730000000000004</v>
      </c>
    </row>
    <row r="9" spans="1:6" x14ac:dyDescent="0.25">
      <c r="A9" t="s">
        <v>22</v>
      </c>
      <c r="B9" t="s">
        <v>150</v>
      </c>
      <c r="C9" t="s">
        <v>8</v>
      </c>
      <c r="D9" t="s">
        <v>9</v>
      </c>
      <c r="E9">
        <v>83</v>
      </c>
      <c r="F9">
        <v>94.62</v>
      </c>
    </row>
    <row r="10" spans="1:6" x14ac:dyDescent="0.25">
      <c r="A10" t="s">
        <v>24</v>
      </c>
      <c r="B10" t="s">
        <v>151</v>
      </c>
      <c r="C10" t="s">
        <v>8</v>
      </c>
      <c r="D10" t="s">
        <v>111</v>
      </c>
      <c r="E10">
        <v>6</v>
      </c>
      <c r="F10">
        <v>7.8599999999999994</v>
      </c>
    </row>
    <row r="11" spans="1:6" x14ac:dyDescent="0.25">
      <c r="A11" t="s">
        <v>26</v>
      </c>
      <c r="B11" t="s">
        <v>152</v>
      </c>
      <c r="C11" t="s">
        <v>28</v>
      </c>
      <c r="D11" t="s">
        <v>110</v>
      </c>
      <c r="E11">
        <v>148</v>
      </c>
      <c r="F11">
        <v>164.28</v>
      </c>
    </row>
    <row r="12" spans="1:6" x14ac:dyDescent="0.25">
      <c r="A12" t="s">
        <v>29</v>
      </c>
      <c r="B12" t="s">
        <v>153</v>
      </c>
      <c r="C12" t="s">
        <v>28</v>
      </c>
      <c r="D12" t="s">
        <v>109</v>
      </c>
      <c r="E12">
        <v>44</v>
      </c>
      <c r="F12">
        <v>48.4</v>
      </c>
    </row>
    <row r="13" spans="1:6" x14ac:dyDescent="0.25">
      <c r="A13" t="s">
        <v>31</v>
      </c>
      <c r="B13" t="s">
        <v>154</v>
      </c>
      <c r="C13" t="s">
        <v>28</v>
      </c>
      <c r="D13" t="s">
        <v>9</v>
      </c>
      <c r="E13">
        <v>73</v>
      </c>
      <c r="F13">
        <v>94.17</v>
      </c>
    </row>
    <row r="14" spans="1:6" x14ac:dyDescent="0.25">
      <c r="A14" t="s">
        <v>33</v>
      </c>
      <c r="B14" t="s">
        <v>155</v>
      </c>
      <c r="C14" t="s">
        <v>28</v>
      </c>
      <c r="D14" t="s">
        <v>9</v>
      </c>
      <c r="E14">
        <v>112</v>
      </c>
      <c r="F14">
        <v>122.08</v>
      </c>
    </row>
    <row r="15" spans="1:6" x14ac:dyDescent="0.25">
      <c r="A15" t="s">
        <v>35</v>
      </c>
      <c r="B15" t="s">
        <v>156</v>
      </c>
      <c r="C15" t="s">
        <v>28</v>
      </c>
      <c r="D15" t="s">
        <v>9</v>
      </c>
      <c r="E15">
        <v>112</v>
      </c>
      <c r="F15">
        <v>146.72</v>
      </c>
    </row>
    <row r="16" spans="1:6" x14ac:dyDescent="0.25">
      <c r="A16" t="s">
        <v>37</v>
      </c>
      <c r="B16" t="s">
        <v>157</v>
      </c>
      <c r="C16" t="s">
        <v>28</v>
      </c>
      <c r="D16" t="s">
        <v>111</v>
      </c>
      <c r="E16">
        <v>12</v>
      </c>
      <c r="F16">
        <v>15.719999999999999</v>
      </c>
    </row>
    <row r="17" spans="1:6" x14ac:dyDescent="0.25">
      <c r="A17" t="s">
        <v>39</v>
      </c>
      <c r="B17" t="s">
        <v>143</v>
      </c>
      <c r="C17" t="s">
        <v>28</v>
      </c>
      <c r="D17" t="s">
        <v>111</v>
      </c>
      <c r="E17">
        <v>13</v>
      </c>
      <c r="F17">
        <v>16.64</v>
      </c>
    </row>
    <row r="18" spans="1:6" x14ac:dyDescent="0.25">
      <c r="A18" t="s">
        <v>41</v>
      </c>
      <c r="B18" t="s">
        <v>159</v>
      </c>
      <c r="C18" t="s">
        <v>28</v>
      </c>
      <c r="D18" t="s">
        <v>110</v>
      </c>
      <c r="E18">
        <v>134</v>
      </c>
      <c r="F18">
        <v>156.78</v>
      </c>
    </row>
    <row r="19" spans="1:6" x14ac:dyDescent="0.25">
      <c r="A19" t="s">
        <v>43</v>
      </c>
      <c r="B19" t="s">
        <v>160</v>
      </c>
      <c r="C19" t="s">
        <v>28</v>
      </c>
      <c r="D19" t="s">
        <v>111</v>
      </c>
      <c r="E19">
        <v>37</v>
      </c>
      <c r="F19">
        <v>49.21</v>
      </c>
    </row>
    <row r="20" spans="1:6" x14ac:dyDescent="0.25">
      <c r="A20" t="s">
        <v>45</v>
      </c>
      <c r="B20" t="s">
        <v>161</v>
      </c>
      <c r="C20" t="s">
        <v>28</v>
      </c>
      <c r="D20" t="s">
        <v>110</v>
      </c>
      <c r="E20">
        <v>150</v>
      </c>
      <c r="F20">
        <v>210</v>
      </c>
    </row>
    <row r="21" spans="1:6" x14ac:dyDescent="0.25">
      <c r="A21" t="s">
        <v>47</v>
      </c>
      <c r="B21" t="s">
        <v>162</v>
      </c>
      <c r="C21" t="s">
        <v>49</v>
      </c>
      <c r="D21" t="s">
        <v>109</v>
      </c>
      <c r="E21">
        <v>61</v>
      </c>
      <c r="F21">
        <v>76.25</v>
      </c>
    </row>
    <row r="22" spans="1:6" x14ac:dyDescent="0.25">
      <c r="A22" t="s">
        <v>50</v>
      </c>
      <c r="B22" t="s">
        <v>163</v>
      </c>
      <c r="C22" t="s">
        <v>49</v>
      </c>
      <c r="D22" t="s">
        <v>110</v>
      </c>
      <c r="E22">
        <v>126</v>
      </c>
      <c r="F22">
        <v>162.54</v>
      </c>
    </row>
    <row r="23" spans="1:6" x14ac:dyDescent="0.25">
      <c r="A23" t="s">
        <v>52</v>
      </c>
      <c r="B23" t="s">
        <v>164</v>
      </c>
      <c r="C23" t="s">
        <v>49</v>
      </c>
      <c r="D23" t="s">
        <v>110</v>
      </c>
      <c r="E23">
        <v>121</v>
      </c>
      <c r="F23">
        <v>141.57</v>
      </c>
    </row>
    <row r="24" spans="1:6" x14ac:dyDescent="0.25">
      <c r="A24" t="s">
        <v>54</v>
      </c>
      <c r="B24" t="s">
        <v>165</v>
      </c>
      <c r="C24" t="s">
        <v>49</v>
      </c>
      <c r="D24" t="s">
        <v>110</v>
      </c>
      <c r="E24">
        <v>141</v>
      </c>
      <c r="F24">
        <v>149.46</v>
      </c>
    </row>
    <row r="25" spans="1:6" x14ac:dyDescent="0.25">
      <c r="A25" t="s">
        <v>56</v>
      </c>
      <c r="B25" t="s">
        <v>166</v>
      </c>
      <c r="C25" t="s">
        <v>49</v>
      </c>
      <c r="D25" t="s">
        <v>110</v>
      </c>
      <c r="E25">
        <v>144</v>
      </c>
      <c r="F25">
        <v>156.96</v>
      </c>
    </row>
    <row r="26" spans="1:6" x14ac:dyDescent="0.25">
      <c r="A26" t="s">
        <v>58</v>
      </c>
      <c r="B26" t="s">
        <v>167</v>
      </c>
      <c r="C26" t="s">
        <v>49</v>
      </c>
      <c r="D26" t="s">
        <v>111</v>
      </c>
      <c r="E26">
        <v>7</v>
      </c>
      <c r="F26">
        <v>8.33</v>
      </c>
    </row>
    <row r="27" spans="1:6" x14ac:dyDescent="0.25">
      <c r="A27" t="s">
        <v>60</v>
      </c>
      <c r="B27" t="s">
        <v>168</v>
      </c>
      <c r="C27" t="s">
        <v>62</v>
      </c>
      <c r="D27" t="s">
        <v>111</v>
      </c>
      <c r="E27">
        <v>18</v>
      </c>
      <c r="F27">
        <v>24.66</v>
      </c>
    </row>
    <row r="28" spans="1:6" x14ac:dyDescent="0.25">
      <c r="A28" t="s">
        <v>63</v>
      </c>
      <c r="B28" t="s">
        <v>169</v>
      </c>
      <c r="C28" t="s">
        <v>62</v>
      </c>
      <c r="D28" t="s">
        <v>109</v>
      </c>
      <c r="E28">
        <v>48</v>
      </c>
      <c r="F28">
        <v>57.120000000000005</v>
      </c>
    </row>
    <row r="29" spans="1:6" x14ac:dyDescent="0.25">
      <c r="A29" t="s">
        <v>65</v>
      </c>
      <c r="B29" t="s">
        <v>170</v>
      </c>
      <c r="C29" t="s">
        <v>62</v>
      </c>
      <c r="D29" t="s">
        <v>111</v>
      </c>
      <c r="E29">
        <v>37</v>
      </c>
      <c r="F29">
        <v>41.81</v>
      </c>
    </row>
    <row r="30" spans="1:6" x14ac:dyDescent="0.25">
      <c r="A30" t="s">
        <v>67</v>
      </c>
      <c r="B30" t="s">
        <v>171</v>
      </c>
      <c r="C30" t="s">
        <v>62</v>
      </c>
      <c r="D30" t="s">
        <v>109</v>
      </c>
      <c r="E30">
        <v>47</v>
      </c>
      <c r="F30">
        <v>53.11</v>
      </c>
    </row>
    <row r="31" spans="1:6" x14ac:dyDescent="0.25">
      <c r="A31" t="s">
        <v>69</v>
      </c>
      <c r="B31" t="s">
        <v>172</v>
      </c>
      <c r="C31" t="s">
        <v>62</v>
      </c>
      <c r="D31" t="s">
        <v>110</v>
      </c>
      <c r="E31">
        <v>148</v>
      </c>
      <c r="F31">
        <v>201.28</v>
      </c>
    </row>
    <row r="32" spans="1:6" x14ac:dyDescent="0.25">
      <c r="A32" t="s">
        <v>71</v>
      </c>
      <c r="B32" t="s">
        <v>173</v>
      </c>
      <c r="C32" t="s">
        <v>62</v>
      </c>
      <c r="D32" t="s">
        <v>9</v>
      </c>
      <c r="E32">
        <v>93</v>
      </c>
      <c r="F32">
        <v>104.16</v>
      </c>
    </row>
    <row r="33" spans="1:6" x14ac:dyDescent="0.25">
      <c r="A33" t="s">
        <v>73</v>
      </c>
      <c r="B33" t="s">
        <v>174</v>
      </c>
      <c r="C33" t="s">
        <v>62</v>
      </c>
      <c r="D33" t="s">
        <v>9</v>
      </c>
      <c r="E33">
        <v>89</v>
      </c>
      <c r="F33">
        <v>117.48</v>
      </c>
    </row>
    <row r="34" spans="1:6" x14ac:dyDescent="0.25">
      <c r="A34" t="s">
        <v>75</v>
      </c>
      <c r="B34" t="s">
        <v>175</v>
      </c>
      <c r="C34" t="s">
        <v>62</v>
      </c>
      <c r="D34" t="s">
        <v>9</v>
      </c>
      <c r="E34">
        <v>95</v>
      </c>
      <c r="F34">
        <v>119.7</v>
      </c>
    </row>
    <row r="35" spans="1:6" x14ac:dyDescent="0.25">
      <c r="A35" t="s">
        <v>77</v>
      </c>
      <c r="B35" t="s">
        <v>176</v>
      </c>
      <c r="C35" t="s">
        <v>62</v>
      </c>
      <c r="D35" t="s">
        <v>109</v>
      </c>
      <c r="E35">
        <v>55</v>
      </c>
      <c r="F35">
        <v>58.3</v>
      </c>
    </row>
    <row r="36" spans="1:6" x14ac:dyDescent="0.25">
      <c r="A36" t="s">
        <v>79</v>
      </c>
      <c r="B36" t="s">
        <v>177</v>
      </c>
      <c r="C36" t="s">
        <v>62</v>
      </c>
      <c r="D36" t="s">
        <v>111</v>
      </c>
      <c r="E36">
        <v>5</v>
      </c>
      <c r="F36">
        <v>6.7</v>
      </c>
    </row>
    <row r="37" spans="1:6" x14ac:dyDescent="0.25">
      <c r="A37" t="s">
        <v>81</v>
      </c>
      <c r="B37" t="s">
        <v>178</v>
      </c>
      <c r="C37" t="s">
        <v>62</v>
      </c>
      <c r="D37" t="s">
        <v>9</v>
      </c>
      <c r="E37">
        <v>90</v>
      </c>
      <c r="F37">
        <v>96.3</v>
      </c>
    </row>
    <row r="38" spans="1:6" x14ac:dyDescent="0.25">
      <c r="A38" t="s">
        <v>83</v>
      </c>
      <c r="B38" t="s">
        <v>179</v>
      </c>
      <c r="C38" t="s">
        <v>85</v>
      </c>
      <c r="D38" t="s">
        <v>9</v>
      </c>
      <c r="E38">
        <v>67</v>
      </c>
      <c r="F38">
        <v>85.76</v>
      </c>
    </row>
    <row r="39" spans="1:6" x14ac:dyDescent="0.25">
      <c r="A39" t="s">
        <v>86</v>
      </c>
      <c r="B39" t="s">
        <v>180</v>
      </c>
      <c r="C39" t="s">
        <v>85</v>
      </c>
      <c r="D39" t="s">
        <v>9</v>
      </c>
      <c r="E39">
        <v>72</v>
      </c>
      <c r="F39">
        <v>79.92</v>
      </c>
    </row>
    <row r="40" spans="1:6" x14ac:dyDescent="0.25">
      <c r="A40" t="s">
        <v>88</v>
      </c>
      <c r="B40" t="s">
        <v>181</v>
      </c>
      <c r="C40" t="s">
        <v>85</v>
      </c>
      <c r="D40" t="s">
        <v>111</v>
      </c>
      <c r="E40">
        <v>37</v>
      </c>
      <c r="F40">
        <v>42.55</v>
      </c>
    </row>
    <row r="41" spans="1:6" x14ac:dyDescent="0.25">
      <c r="A41" t="s">
        <v>90</v>
      </c>
      <c r="B41" t="s">
        <v>182</v>
      </c>
      <c r="C41" t="s">
        <v>85</v>
      </c>
      <c r="D41" t="s">
        <v>9</v>
      </c>
      <c r="E41">
        <v>90</v>
      </c>
      <c r="F41">
        <v>115.2</v>
      </c>
    </row>
    <row r="42" spans="1:6" x14ac:dyDescent="0.25">
      <c r="A42" t="s">
        <v>92</v>
      </c>
      <c r="B42" t="s">
        <v>183</v>
      </c>
      <c r="C42" t="s">
        <v>85</v>
      </c>
      <c r="D42" t="s">
        <v>110</v>
      </c>
      <c r="E42">
        <v>138</v>
      </c>
      <c r="F42">
        <v>173.88</v>
      </c>
    </row>
    <row r="43" spans="1:6" x14ac:dyDescent="0.25">
      <c r="A43" t="s">
        <v>94</v>
      </c>
      <c r="B43" t="s">
        <v>184</v>
      </c>
      <c r="C43" t="s">
        <v>85</v>
      </c>
      <c r="D43" t="s">
        <v>110</v>
      </c>
      <c r="E43">
        <v>120</v>
      </c>
      <c r="F43">
        <v>162</v>
      </c>
    </row>
    <row r="44" spans="1:6" x14ac:dyDescent="0.25">
      <c r="A44" t="s">
        <v>96</v>
      </c>
      <c r="B44" t="s">
        <v>185</v>
      </c>
      <c r="C44" t="s">
        <v>85</v>
      </c>
      <c r="D44" t="s">
        <v>9</v>
      </c>
      <c r="E44">
        <v>67</v>
      </c>
      <c r="F44">
        <v>83.08</v>
      </c>
    </row>
    <row r="45" spans="1:6" x14ac:dyDescent="0.25">
      <c r="A45" t="s">
        <v>98</v>
      </c>
      <c r="B45" t="s">
        <v>186</v>
      </c>
      <c r="C45" t="s">
        <v>85</v>
      </c>
      <c r="D45" t="s">
        <v>9</v>
      </c>
      <c r="E45">
        <v>76</v>
      </c>
      <c r="F45">
        <v>82.08</v>
      </c>
    </row>
    <row r="46" spans="1:6" x14ac:dyDescent="0.25">
      <c r="A46" t="s">
        <v>112</v>
      </c>
      <c r="B46" t="s">
        <v>188</v>
      </c>
      <c r="C46" t="s">
        <v>85</v>
      </c>
      <c r="D46" t="s">
        <v>9</v>
      </c>
      <c r="E46">
        <v>50</v>
      </c>
      <c r="F46">
        <v>62</v>
      </c>
    </row>
    <row r="47" spans="1:6" x14ac:dyDescent="0.25">
      <c r="A47" t="s">
        <v>189</v>
      </c>
      <c r="B47" t="s">
        <v>190</v>
      </c>
      <c r="C47" t="s">
        <v>85</v>
      </c>
      <c r="D47" t="s">
        <v>9</v>
      </c>
      <c r="E47">
        <v>80</v>
      </c>
      <c r="F47">
        <v>75</v>
      </c>
    </row>
    <row r="48" spans="1:6" x14ac:dyDescent="0.25">
      <c r="A48" t="s">
        <v>191</v>
      </c>
    </row>
  </sheetData>
  <dataValidations count="2">
    <dataValidation type="list" allowBlank="1" showInputMessage="1" showErrorMessage="1" sqref="C2:C48" xr:uid="{DD3653ED-5F3C-43AF-A846-04E57B65CB7D}">
      <formula1>"Category01,Category02,Category03,Category04,Category05"</formula1>
    </dataValidation>
    <dataValidation type="list" allowBlank="1" showInputMessage="1" showErrorMessage="1" sqref="D2:D48" xr:uid="{BAF831DE-FD7E-4C5A-AB30-A7CBB0FB6518}">
      <formula1>"Kg,Lt,Ft,Dozon,No."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6CB4-36B4-42DB-9E4F-5A350E1DFD89}">
  <sheetPr codeName="Sheet3"/>
  <dimension ref="A1:AY46"/>
  <sheetViews>
    <sheetView tabSelected="1" topLeftCell="AQ1" workbookViewId="0">
      <selection activeCell="L2" sqref="L2"/>
    </sheetView>
  </sheetViews>
  <sheetFormatPr defaultRowHeight="15" x14ac:dyDescent="0.25"/>
  <cols>
    <col min="1" max="1" width="13.140625" bestFit="1" customWidth="1"/>
    <col min="2" max="2" width="28.5703125" bestFit="1" customWidth="1"/>
    <col min="4" max="4" width="28.5703125" bestFit="1" customWidth="1"/>
    <col min="5" max="5" width="27.5703125" bestFit="1" customWidth="1"/>
    <col min="6" max="6" width="5.42578125" customWidth="1"/>
    <col min="7" max="7" width="13.140625" bestFit="1" customWidth="1"/>
    <col min="8" max="8" width="28.5703125" bestFit="1" customWidth="1"/>
    <col min="9" max="9" width="27.5703125" bestFit="1" customWidth="1"/>
    <col min="10" max="10" width="27.5703125" customWidth="1"/>
    <col min="11" max="11" width="7.42578125" customWidth="1"/>
    <col min="12" max="12" width="13.85546875" customWidth="1"/>
    <col min="13" max="13" width="11.85546875" customWidth="1"/>
    <col min="14" max="16" width="7.42578125" customWidth="1"/>
    <col min="17" max="17" width="9.5703125" customWidth="1"/>
    <col min="18" max="18" width="11" customWidth="1"/>
    <col min="19" max="20" width="7.42578125" customWidth="1"/>
    <col min="22" max="22" width="13.140625" bestFit="1" customWidth="1"/>
    <col min="23" max="23" width="8" bestFit="1" customWidth="1"/>
    <col min="24" max="24" width="28.5703125" bestFit="1" customWidth="1"/>
    <col min="25" max="25" width="17" bestFit="1" customWidth="1"/>
    <col min="26" max="26" width="4.140625" bestFit="1" customWidth="1"/>
    <col min="27" max="27" width="11.28515625" bestFit="1" customWidth="1"/>
    <col min="28" max="36" width="17" customWidth="1"/>
    <col min="37" max="37" width="10.140625" bestFit="1" customWidth="1"/>
    <col min="38" max="38" width="13.140625" bestFit="1" customWidth="1"/>
    <col min="39" max="39" width="28.5703125" bestFit="1" customWidth="1"/>
    <col min="40" max="45" width="28.5703125" customWidth="1"/>
    <col min="46" max="46" width="11.140625" bestFit="1" customWidth="1"/>
    <col min="47" max="47" width="13.140625" bestFit="1" customWidth="1"/>
    <col min="48" max="48" width="28.5703125" bestFit="1" customWidth="1"/>
    <col min="49" max="49" width="8.140625" customWidth="1"/>
    <col min="50" max="50" width="13.140625" bestFit="1" customWidth="1"/>
    <col min="51" max="51" width="28.5703125" bestFit="1" customWidth="1"/>
  </cols>
  <sheetData>
    <row r="1" spans="1:51" x14ac:dyDescent="0.25">
      <c r="A1" s="10" t="s">
        <v>119</v>
      </c>
      <c r="B1" t="s">
        <v>120</v>
      </c>
      <c r="D1" t="s">
        <v>120</v>
      </c>
      <c r="E1" t="s">
        <v>121</v>
      </c>
      <c r="G1" s="10" t="s">
        <v>119</v>
      </c>
      <c r="H1" t="s">
        <v>120</v>
      </c>
      <c r="I1" t="s">
        <v>121</v>
      </c>
      <c r="K1" t="s">
        <v>138</v>
      </c>
      <c r="L1" t="s">
        <v>139</v>
      </c>
      <c r="M1" t="s">
        <v>141</v>
      </c>
      <c r="N1" t="s">
        <v>140</v>
      </c>
      <c r="AG1">
        <v>29</v>
      </c>
      <c r="AH1">
        <f>COUNT(Y:Y)-9</f>
        <v>34</v>
      </c>
      <c r="AI1">
        <f>MIN(AG1:AH1)</f>
        <v>29</v>
      </c>
      <c r="AL1" s="10" t="s">
        <v>119</v>
      </c>
      <c r="AM1" t="s">
        <v>120</v>
      </c>
      <c r="AP1" t="str">
        <f ca="1">VLOOKUP(1,$AO:$AQ,2,0)</f>
        <v>Category04</v>
      </c>
      <c r="AQ1" s="11">
        <f ca="1">VLOOKUP(1,$AO:$AQ,3,0)</f>
        <v>95269.4</v>
      </c>
      <c r="AU1" s="10" t="s">
        <v>119</v>
      </c>
      <c r="AV1" t="s">
        <v>120</v>
      </c>
      <c r="AX1" s="10" t="s">
        <v>119</v>
      </c>
      <c r="AY1" t="s">
        <v>120</v>
      </c>
    </row>
    <row r="2" spans="1:51" x14ac:dyDescent="0.25">
      <c r="A2" s="7">
        <v>1</v>
      </c>
      <c r="B2" s="11">
        <v>13167.81</v>
      </c>
      <c r="D2" s="11">
        <v>401882.77000000014</v>
      </c>
      <c r="E2" s="11">
        <v>332869</v>
      </c>
      <c r="G2" s="7" t="s">
        <v>122</v>
      </c>
      <c r="H2" s="11">
        <v>41346.960000000006</v>
      </c>
      <c r="I2" s="11">
        <v>34290</v>
      </c>
      <c r="J2" s="11"/>
      <c r="K2" s="7" t="s">
        <v>122</v>
      </c>
      <c r="L2" s="11">
        <f>IF($L$14=TRUE,VLOOKUP(K2,$G:$I,3,0),NA())</f>
        <v>34290</v>
      </c>
      <c r="M2" s="11">
        <f>IF($M$14=TRUE,VLOOKUP(K2,$G$1:$I$13,3,0)-VLOOKUP(K2,$G$1:$I$13,2,0),NA())</f>
        <v>-7056.9600000000064</v>
      </c>
      <c r="N2" s="12">
        <f>IF($N$14=TRUE,M2/VLOOKUP(K3,G2:I14,3,0),"")</f>
        <v>-0.27847993370427399</v>
      </c>
      <c r="O2" s="12"/>
      <c r="P2" s="12"/>
      <c r="Q2" s="12">
        <v>34290</v>
      </c>
      <c r="R2" s="12">
        <v>-7056.9600000000064</v>
      </c>
      <c r="S2" s="12">
        <v>-0.27847993370427399</v>
      </c>
      <c r="T2" s="12"/>
      <c r="AB2" t="str">
        <f ca="1">VLOOKUP(1,AA:AE,2,0)</f>
        <v>Meat</v>
      </c>
      <c r="AC2" t="str">
        <f ca="1">VLOOKUP(1,AA:AE,3,0)</f>
        <v>Ft</v>
      </c>
      <c r="AD2">
        <f ca="1">VLOOKUP(1,AA:AE,4,0)</f>
        <v>22952.16</v>
      </c>
      <c r="AE2">
        <f ca="1">VLOOKUP(1,AA:AE,5,0)</f>
        <v>132</v>
      </c>
      <c r="AL2" s="7" t="s">
        <v>8</v>
      </c>
      <c r="AM2" s="11">
        <v>69261.950000000012</v>
      </c>
      <c r="AN2" s="11"/>
      <c r="AO2" s="11" cm="1">
        <f t="array" aca="1" ref="AO2:AO6" ca="1">RANK(_xlfn.ANCHORARRAY(AQ2),_xlfn.ANCHORARRAY(AQ2))</f>
        <v>4</v>
      </c>
      <c r="AP2" s="11" t="str" cm="1">
        <f t="array" aca="1" ref="AP2:AP6" ca="1">OFFSET(AL1,1,0,COUNT($AM:$AM))</f>
        <v>Category01</v>
      </c>
      <c r="AQ2" s="11" cm="1">
        <f t="array" aca="1" ref="AQ2:AQ6" ca="1">OFFSET(AL1,1,1,COUNT($AM:$AM))</f>
        <v>69261.950000000012</v>
      </c>
      <c r="AR2" s="11"/>
      <c r="AS2" s="11"/>
      <c r="AU2" s="7" t="s">
        <v>108</v>
      </c>
      <c r="AV2" s="11">
        <v>208140.15000000017</v>
      </c>
      <c r="AX2" s="7" t="s">
        <v>107</v>
      </c>
      <c r="AY2" s="11">
        <v>199516.90000000014</v>
      </c>
    </row>
    <row r="3" spans="1:51" x14ac:dyDescent="0.25">
      <c r="A3" s="7">
        <v>2</v>
      </c>
      <c r="B3" s="11">
        <v>13210.219999999998</v>
      </c>
      <c r="G3" s="7" t="s">
        <v>123</v>
      </c>
      <c r="H3" s="11">
        <v>30857.300000000007</v>
      </c>
      <c r="I3" s="11">
        <v>25341</v>
      </c>
      <c r="J3" s="11"/>
      <c r="K3" s="7" t="s">
        <v>123</v>
      </c>
      <c r="L3" s="11">
        <f t="shared" ref="L3:L13" si="0">IF($L$14=TRUE,VLOOKUP(K3,$G:$I,3,0),NA())</f>
        <v>25341</v>
      </c>
      <c r="M3" s="11">
        <f t="shared" ref="M3:M13" si="1">IF($M$14=TRUE,VLOOKUP(K3,$G$1:$I$13,3,0)-VLOOKUP(K3,$G$1:$I$13,2,0),NA())</f>
        <v>-5516.3000000000065</v>
      </c>
      <c r="N3" s="12">
        <f>IF($N$14=TRUE,M3/VLOOKUP(K3,G2:I14,3,0),"")</f>
        <v>-0.21768280651908001</v>
      </c>
      <c r="O3" s="12"/>
      <c r="P3" s="12" t="s">
        <v>123</v>
      </c>
      <c r="Q3" s="12" t="e">
        <v>#N/A</v>
      </c>
      <c r="R3" s="12">
        <v>-5516.3000000000065</v>
      </c>
      <c r="S3" s="12">
        <v>-0.21768280651908001</v>
      </c>
      <c r="T3" s="12"/>
      <c r="V3" s="10" t="s">
        <v>118</v>
      </c>
      <c r="W3" s="10" t="s">
        <v>3</v>
      </c>
      <c r="X3" t="s">
        <v>120</v>
      </c>
      <c r="Y3" t="s">
        <v>134</v>
      </c>
      <c r="AG3" t="str" cm="1">
        <f t="array" aca="1" ref="AG3:AG12" ca="1">OFFSET(V3,$AI$1,0,10)</f>
        <v>Milk</v>
      </c>
      <c r="AH3" cm="1">
        <f t="array" aca="1" ref="AH3:AH12" ca="1">OFFSET(V3,$AI$1,2,10)</f>
        <v>5523.44</v>
      </c>
      <c r="AL3" s="7" t="s">
        <v>28</v>
      </c>
      <c r="AM3" s="11">
        <v>93434.72</v>
      </c>
      <c r="AN3" s="11"/>
      <c r="AO3" s="11">
        <f ca="1"/>
        <v>2</v>
      </c>
      <c r="AP3" s="11" t="str">
        <f ca="1"/>
        <v>Category02</v>
      </c>
      <c r="AQ3" s="11">
        <f ca="1"/>
        <v>93434.72</v>
      </c>
      <c r="AR3" s="11"/>
      <c r="AS3" s="11"/>
      <c r="AU3" s="7" t="s">
        <v>106</v>
      </c>
      <c r="AV3" s="11">
        <v>134394.72</v>
      </c>
      <c r="AX3" s="7" t="s">
        <v>106</v>
      </c>
      <c r="AY3" s="11">
        <v>202365.87000000011</v>
      </c>
    </row>
    <row r="4" spans="1:51" x14ac:dyDescent="0.25">
      <c r="A4" s="7">
        <v>3</v>
      </c>
      <c r="B4" s="11">
        <v>20202.099999999999</v>
      </c>
      <c r="D4" t="s">
        <v>135</v>
      </c>
      <c r="E4" s="11">
        <f>GETPIVOTDATA("Sum of TOTAL SELLING VALUE2",$D$1)</f>
        <v>401882.77000000014</v>
      </c>
      <c r="G4" s="7" t="s">
        <v>124</v>
      </c>
      <c r="H4" s="11">
        <v>28616.649999999994</v>
      </c>
      <c r="I4" s="11">
        <v>23437</v>
      </c>
      <c r="J4" s="11"/>
      <c r="K4" s="7" t="s">
        <v>124</v>
      </c>
      <c r="L4" s="11">
        <f t="shared" si="0"/>
        <v>23437</v>
      </c>
      <c r="M4" s="11">
        <f t="shared" si="1"/>
        <v>-5179.6499999999942</v>
      </c>
      <c r="N4" s="12">
        <f t="shared" ref="N4:N13" si="2">IF($N$14=TRUE,M4/VLOOKUP(K4,G3:I15,3,0),"")</f>
        <v>-0.22100311473311407</v>
      </c>
      <c r="O4" s="12"/>
      <c r="P4" s="12" t="s">
        <v>124</v>
      </c>
      <c r="Q4" s="12" t="e">
        <v>#N/A</v>
      </c>
      <c r="R4" s="12">
        <v>-5179.6499999999942</v>
      </c>
      <c r="S4" s="12">
        <v>-0.22100311473311407</v>
      </c>
      <c r="T4" s="12"/>
      <c r="V4" t="s">
        <v>143</v>
      </c>
      <c r="X4" s="11">
        <v>18326.52</v>
      </c>
      <c r="Y4">
        <v>259</v>
      </c>
      <c r="Z4">
        <f>RANK(Y4,Y4:Y43,0)</f>
        <v>1</v>
      </c>
      <c r="AA4" cm="1">
        <f t="array" aca="1" ref="AA4:AA46" ca="1">RANK(_xlfn.ANCHORARRAY(AD4),_xlfn.ANCHORARRAY(AD4))</f>
        <v>5</v>
      </c>
      <c r="AB4" t="str" cm="1">
        <f t="array" aca="1" ref="AB4:AB46" ca="1">OFFSET(V3,1,0,COUNT($X:$X))</f>
        <v>Sugar</v>
      </c>
      <c r="AC4" cm="1">
        <f t="array" aca="1" ref="AC4:AC46" ca="1">OFFSET(V3,1,1,COUNT($X:$X))</f>
        <v>0</v>
      </c>
      <c r="AD4" cm="1">
        <f t="array" aca="1" ref="AD4:AD46" ca="1">OFFSET(V3,1,2,COUNT($X:$X))</f>
        <v>18326.52</v>
      </c>
      <c r="AE4" cm="1">
        <f t="array" aca="1" ref="AE4:AE46" ca="1">OFFSET(V3,1,3,COUNT($X:$X))</f>
        <v>259</v>
      </c>
      <c r="AG4" t="str">
        <f ca="1"/>
        <v>Plates</v>
      </c>
      <c r="AH4">
        <f ca="1"/>
        <v>22945.919999999998</v>
      </c>
      <c r="AL4" s="7" t="s">
        <v>49</v>
      </c>
      <c r="AM4" s="11">
        <v>52299.510000000009</v>
      </c>
      <c r="AN4" s="11"/>
      <c r="AO4" s="11">
        <f ca="1"/>
        <v>5</v>
      </c>
      <c r="AP4" s="11" t="str">
        <f ca="1"/>
        <v>Category03</v>
      </c>
      <c r="AQ4" s="11">
        <f ca="1"/>
        <v>52299.510000000009</v>
      </c>
      <c r="AR4" s="11"/>
      <c r="AS4" s="11"/>
      <c r="AU4" s="7" t="s">
        <v>105</v>
      </c>
      <c r="AV4" s="11">
        <v>59347.900000000009</v>
      </c>
    </row>
    <row r="5" spans="1:51" x14ac:dyDescent="0.25">
      <c r="A5" s="7">
        <v>4</v>
      </c>
      <c r="B5" s="11">
        <v>11312.200000000003</v>
      </c>
      <c r="D5" t="s">
        <v>136</v>
      </c>
      <c r="E5" s="11">
        <f>GETPIVOTDATA("Sum of TOTAL BUYING VALUE",$D$1)</f>
        <v>332869</v>
      </c>
      <c r="G5" s="7" t="s">
        <v>125</v>
      </c>
      <c r="H5" s="11">
        <v>26579.109999999997</v>
      </c>
      <c r="I5" s="11">
        <v>21282</v>
      </c>
      <c r="J5" s="11"/>
      <c r="K5" s="7" t="s">
        <v>125</v>
      </c>
      <c r="L5" s="11">
        <f t="shared" si="0"/>
        <v>21282</v>
      </c>
      <c r="M5" s="11">
        <f t="shared" si="1"/>
        <v>-5297.1099999999969</v>
      </c>
      <c r="N5" s="12">
        <f t="shared" si="2"/>
        <v>-0.2489009491589135</v>
      </c>
      <c r="O5" s="12"/>
      <c r="P5" s="12" t="s">
        <v>125</v>
      </c>
      <c r="Q5" s="12" t="e">
        <v>#N/A</v>
      </c>
      <c r="R5" s="12">
        <v>-5297.1099999999969</v>
      </c>
      <c r="S5" s="12">
        <v>-0.2489009491589135</v>
      </c>
      <c r="T5" s="12"/>
      <c r="V5" t="s">
        <v>144</v>
      </c>
      <c r="W5" t="s">
        <v>9</v>
      </c>
      <c r="X5" s="11">
        <v>13423.199999999999</v>
      </c>
      <c r="Y5">
        <v>94</v>
      </c>
      <c r="Z5">
        <f t="shared" ref="Z5:Z43" si="3">RANK(Y5,Y5:Y44,0)</f>
        <v>21</v>
      </c>
      <c r="AA5">
        <f ca="1"/>
        <v>10</v>
      </c>
      <c r="AB5" t="str">
        <f ca="1"/>
        <v>Rice</v>
      </c>
      <c r="AC5" t="str">
        <f ca="1"/>
        <v>Kg</v>
      </c>
      <c r="AD5">
        <f ca="1"/>
        <v>13423.199999999999</v>
      </c>
      <c r="AE5">
        <f ca="1"/>
        <v>94</v>
      </c>
      <c r="AG5" t="str">
        <f ca="1"/>
        <v>Rice flour</v>
      </c>
      <c r="AH5">
        <f ca="1"/>
        <v>6249.5999999999995</v>
      </c>
      <c r="AL5" s="7" t="s">
        <v>62</v>
      </c>
      <c r="AM5" s="11">
        <v>95269.4</v>
      </c>
      <c r="AN5" s="11"/>
      <c r="AO5" s="11">
        <f ca="1"/>
        <v>1</v>
      </c>
      <c r="AP5" s="11" t="str">
        <f ca="1"/>
        <v>Category04</v>
      </c>
      <c r="AQ5" s="11">
        <f ca="1"/>
        <v>95269.4</v>
      </c>
      <c r="AR5" s="11"/>
      <c r="AS5" s="11"/>
    </row>
    <row r="6" spans="1:51" x14ac:dyDescent="0.25">
      <c r="A6" s="7">
        <v>5</v>
      </c>
      <c r="B6" s="11">
        <v>11711.449999999997</v>
      </c>
      <c r="D6" t="s">
        <v>137</v>
      </c>
      <c r="E6" s="12">
        <f>E5/GETPIVOTDATA("Sum of TOTAL BUYING VALUE",$D$1)</f>
        <v>1</v>
      </c>
      <c r="G6" s="7" t="s">
        <v>126</v>
      </c>
      <c r="H6" s="11">
        <v>30910.45</v>
      </c>
      <c r="I6" s="11">
        <v>26526</v>
      </c>
      <c r="J6" s="11"/>
      <c r="K6" s="7" t="s">
        <v>126</v>
      </c>
      <c r="L6" s="11">
        <f t="shared" si="0"/>
        <v>26526</v>
      </c>
      <c r="M6" s="11">
        <f t="shared" si="1"/>
        <v>-4384.4500000000007</v>
      </c>
      <c r="N6" s="12">
        <f t="shared" si="2"/>
        <v>-0.16528877327904701</v>
      </c>
      <c r="O6" s="12"/>
      <c r="P6" s="12" t="s">
        <v>126</v>
      </c>
      <c r="Q6" s="12" t="e">
        <v>#N/A</v>
      </c>
      <c r="R6" s="12">
        <v>-4384.4500000000007</v>
      </c>
      <c r="S6" s="12">
        <v>-0.16528877327904701</v>
      </c>
      <c r="T6" s="12"/>
      <c r="V6" t="s">
        <v>145</v>
      </c>
      <c r="W6" t="s">
        <v>9</v>
      </c>
      <c r="X6" s="11">
        <v>6394.2599999999993</v>
      </c>
      <c r="Y6">
        <v>79</v>
      </c>
      <c r="Z6">
        <f t="shared" si="3"/>
        <v>26</v>
      </c>
      <c r="AA6">
        <f ca="1"/>
        <v>26</v>
      </c>
      <c r="AB6" t="str">
        <f ca="1"/>
        <v>Wheat Flour</v>
      </c>
      <c r="AC6" t="str">
        <f ca="1"/>
        <v>Kg</v>
      </c>
      <c r="AD6">
        <f ca="1"/>
        <v>6394.2599999999993</v>
      </c>
      <c r="AE6">
        <f ca="1"/>
        <v>79</v>
      </c>
      <c r="AG6" t="str">
        <f ca="1"/>
        <v>Grains</v>
      </c>
      <c r="AH6">
        <f ca="1"/>
        <v>13645.800000000001</v>
      </c>
      <c r="AL6" s="7" t="s">
        <v>85</v>
      </c>
      <c r="AM6" s="11">
        <v>91617.19</v>
      </c>
      <c r="AN6" s="11"/>
      <c r="AO6" s="11">
        <f ca="1"/>
        <v>3</v>
      </c>
      <c r="AP6" s="11" t="str">
        <f ca="1"/>
        <v>Category05</v>
      </c>
      <c r="AQ6" s="11">
        <f ca="1"/>
        <v>91617.19</v>
      </c>
      <c r="AR6" s="11"/>
      <c r="AS6" s="11"/>
    </row>
    <row r="7" spans="1:51" x14ac:dyDescent="0.25">
      <c r="A7" s="7">
        <v>6</v>
      </c>
      <c r="B7" s="11">
        <v>14365.539999999997</v>
      </c>
      <c r="G7" s="7" t="s">
        <v>127</v>
      </c>
      <c r="H7" s="11">
        <v>30533.71</v>
      </c>
      <c r="I7" s="11">
        <v>24879</v>
      </c>
      <c r="J7" s="11"/>
      <c r="K7" s="7" t="s">
        <v>127</v>
      </c>
      <c r="L7" s="11">
        <f t="shared" si="0"/>
        <v>24879</v>
      </c>
      <c r="M7" s="11">
        <f t="shared" si="1"/>
        <v>-5654.7099999999991</v>
      </c>
      <c r="N7" s="12">
        <f t="shared" si="2"/>
        <v>-0.22728847622492862</v>
      </c>
      <c r="O7" s="12"/>
      <c r="P7" s="12" t="s">
        <v>127</v>
      </c>
      <c r="Q7" s="12" t="e">
        <v>#N/A</v>
      </c>
      <c r="R7" s="12">
        <v>-5654.7099999999991</v>
      </c>
      <c r="S7" s="12">
        <v>-0.22728847622492862</v>
      </c>
      <c r="T7" s="12"/>
      <c r="V7" t="s">
        <v>146</v>
      </c>
      <c r="W7" t="s">
        <v>109</v>
      </c>
      <c r="X7" s="11">
        <v>6056.1600000000008</v>
      </c>
      <c r="Y7">
        <v>124</v>
      </c>
      <c r="Z7">
        <f t="shared" si="3"/>
        <v>6</v>
      </c>
      <c r="AA7">
        <f ca="1"/>
        <v>30</v>
      </c>
      <c r="AB7" t="str">
        <f ca="1"/>
        <v>Sunflower Oil</v>
      </c>
      <c r="AC7" t="str">
        <f ca="1"/>
        <v>Lt</v>
      </c>
      <c r="AD7">
        <f ca="1"/>
        <v>6056.1600000000008</v>
      </c>
      <c r="AE7">
        <f ca="1"/>
        <v>124</v>
      </c>
      <c r="AG7" t="str">
        <f ca="1"/>
        <v>water cane</v>
      </c>
      <c r="AH7">
        <f ca="1"/>
        <v>8978.2000000000007</v>
      </c>
    </row>
    <row r="8" spans="1:51" x14ac:dyDescent="0.25">
      <c r="A8" s="7">
        <v>7</v>
      </c>
      <c r="B8" s="11">
        <v>7132.79</v>
      </c>
      <c r="G8" s="7" t="s">
        <v>128</v>
      </c>
      <c r="H8" s="11">
        <v>35251.79</v>
      </c>
      <c r="I8" s="11">
        <v>29878</v>
      </c>
      <c r="J8" s="11"/>
      <c r="K8" s="7" t="s">
        <v>128</v>
      </c>
      <c r="L8" s="11">
        <f t="shared" si="0"/>
        <v>29878</v>
      </c>
      <c r="M8" s="11">
        <f t="shared" si="1"/>
        <v>-5373.7900000000009</v>
      </c>
      <c r="N8" s="12">
        <f t="shared" si="2"/>
        <v>-0.1798577548698039</v>
      </c>
      <c r="O8" s="12"/>
      <c r="P8" s="12" t="s">
        <v>128</v>
      </c>
      <c r="Q8" s="12" t="e">
        <v>#N/A</v>
      </c>
      <c r="R8" s="12">
        <v>-5373.7900000000009</v>
      </c>
      <c r="S8" s="12">
        <v>-0.1798577548698039</v>
      </c>
      <c r="T8" s="12"/>
      <c r="V8" t="s">
        <v>147</v>
      </c>
      <c r="W8" t="s">
        <v>110</v>
      </c>
      <c r="X8" s="11">
        <v>15716.61</v>
      </c>
      <c r="Y8">
        <v>101</v>
      </c>
      <c r="Z8">
        <f t="shared" si="3"/>
        <v>18</v>
      </c>
      <c r="AA8">
        <f ca="1"/>
        <v>8</v>
      </c>
      <c r="AB8" t="str">
        <f ca="1"/>
        <v>Onion</v>
      </c>
      <c r="AC8" t="str">
        <f ca="1"/>
        <v>Ft</v>
      </c>
      <c r="AD8">
        <f ca="1"/>
        <v>15716.61</v>
      </c>
      <c r="AE8">
        <f ca="1"/>
        <v>101</v>
      </c>
      <c r="AG8" t="str">
        <f ca="1"/>
        <v>bun</v>
      </c>
      <c r="AH8">
        <f ca="1"/>
        <v>703.5</v>
      </c>
    </row>
    <row r="9" spans="1:51" x14ac:dyDescent="0.25">
      <c r="A9" s="7">
        <v>8</v>
      </c>
      <c r="B9" s="11">
        <v>14262.46</v>
      </c>
      <c r="G9" s="7" t="s">
        <v>129</v>
      </c>
      <c r="H9" s="11">
        <v>35350.400000000001</v>
      </c>
      <c r="I9" s="11">
        <v>29831</v>
      </c>
      <c r="J9" s="11"/>
      <c r="K9" s="7" t="s">
        <v>129</v>
      </c>
      <c r="L9" s="11">
        <f t="shared" si="0"/>
        <v>29831</v>
      </c>
      <c r="M9" s="11">
        <f t="shared" si="1"/>
        <v>-5519.4000000000015</v>
      </c>
      <c r="N9" s="12">
        <f t="shared" si="2"/>
        <v>-0.185022292246321</v>
      </c>
      <c r="O9" s="12"/>
      <c r="P9" s="12" t="s">
        <v>129</v>
      </c>
      <c r="Q9" s="12" t="e">
        <v>#N/A</v>
      </c>
      <c r="R9" s="12">
        <v>-5519.4000000000015</v>
      </c>
      <c r="S9" s="12">
        <v>-0.185022292246321</v>
      </c>
      <c r="T9" s="12"/>
      <c r="V9" t="s">
        <v>148</v>
      </c>
      <c r="W9" t="s">
        <v>9</v>
      </c>
      <c r="X9" s="11">
        <v>4531.5</v>
      </c>
      <c r="Y9">
        <v>53</v>
      </c>
      <c r="Z9">
        <f t="shared" si="3"/>
        <v>37</v>
      </c>
      <c r="AA9">
        <f ca="1"/>
        <v>35</v>
      </c>
      <c r="AB9" t="str">
        <f ca="1"/>
        <v>Tomato</v>
      </c>
      <c r="AC9" t="str">
        <f ca="1"/>
        <v>Kg</v>
      </c>
      <c r="AD9">
        <f ca="1"/>
        <v>4531.5</v>
      </c>
      <c r="AE9">
        <f ca="1"/>
        <v>53</v>
      </c>
      <c r="AG9" t="str">
        <f ca="1"/>
        <v>carrot</v>
      </c>
      <c r="AH9">
        <f ca="1"/>
        <v>7222.5</v>
      </c>
    </row>
    <row r="10" spans="1:51" x14ac:dyDescent="0.25">
      <c r="A10" s="7">
        <v>9</v>
      </c>
      <c r="B10" s="11">
        <v>16824.670000000002</v>
      </c>
      <c r="G10" s="7" t="s">
        <v>130</v>
      </c>
      <c r="H10" s="11">
        <v>35242.810000000005</v>
      </c>
      <c r="I10" s="11">
        <v>28758</v>
      </c>
      <c r="J10" s="11"/>
      <c r="K10" s="7" t="s">
        <v>130</v>
      </c>
      <c r="L10" s="11">
        <f t="shared" si="0"/>
        <v>28758</v>
      </c>
      <c r="M10" s="11">
        <f t="shared" si="1"/>
        <v>-6484.8100000000049</v>
      </c>
      <c r="N10" s="12">
        <f t="shared" si="2"/>
        <v>-0.22549586202100302</v>
      </c>
      <c r="O10" s="12"/>
      <c r="P10" s="12" t="s">
        <v>130</v>
      </c>
      <c r="Q10" s="12" t="e">
        <v>#N/A</v>
      </c>
      <c r="R10" s="12">
        <v>-6484.8100000000049</v>
      </c>
      <c r="S10" s="12">
        <v>-0.22549586202100302</v>
      </c>
      <c r="T10" s="12"/>
      <c r="V10" t="s">
        <v>149</v>
      </c>
      <c r="W10" t="s">
        <v>109</v>
      </c>
      <c r="X10" s="11">
        <v>2291.04</v>
      </c>
      <c r="Y10">
        <v>48</v>
      </c>
      <c r="Z10">
        <f t="shared" si="3"/>
        <v>37</v>
      </c>
      <c r="AA10">
        <f ca="1"/>
        <v>39</v>
      </c>
      <c r="AB10" t="str">
        <f ca="1"/>
        <v>Palm Oil</v>
      </c>
      <c r="AC10" t="str">
        <f ca="1"/>
        <v>Lt</v>
      </c>
      <c r="AD10">
        <f ca="1"/>
        <v>2291.04</v>
      </c>
      <c r="AE10">
        <f ca="1"/>
        <v>48</v>
      </c>
      <c r="AG10" t="str">
        <f ca="1"/>
        <v>Beetroot</v>
      </c>
      <c r="AH10">
        <f ca="1"/>
        <v>5145.6000000000004</v>
      </c>
    </row>
    <row r="11" spans="1:51" x14ac:dyDescent="0.25">
      <c r="A11" s="7">
        <v>10</v>
      </c>
      <c r="B11" s="11">
        <v>15229.349999999999</v>
      </c>
      <c r="G11" s="7" t="s">
        <v>131</v>
      </c>
      <c r="H11" s="11">
        <v>33500.69</v>
      </c>
      <c r="I11" s="11">
        <v>27842</v>
      </c>
      <c r="J11" s="11"/>
      <c r="K11" s="7" t="s">
        <v>131</v>
      </c>
      <c r="L11" s="11">
        <f t="shared" si="0"/>
        <v>27842</v>
      </c>
      <c r="M11" s="11">
        <f t="shared" si="1"/>
        <v>-5658.6900000000023</v>
      </c>
      <c r="N11" s="12">
        <f t="shared" si="2"/>
        <v>-0.20324294231736234</v>
      </c>
      <c r="O11" s="12"/>
      <c r="P11" s="12" t="s">
        <v>131</v>
      </c>
      <c r="Q11" s="12" t="e">
        <v>#N/A</v>
      </c>
      <c r="R11" s="12">
        <v>-5658.6900000000023</v>
      </c>
      <c r="S11" s="12">
        <v>-0.20324294231736234</v>
      </c>
      <c r="T11" s="12"/>
      <c r="V11" t="s">
        <v>150</v>
      </c>
      <c r="W11" t="s">
        <v>9</v>
      </c>
      <c r="X11" s="11">
        <v>10502.82</v>
      </c>
      <c r="Y11">
        <v>111</v>
      </c>
      <c r="Z11">
        <f t="shared" si="3"/>
        <v>12</v>
      </c>
      <c r="AA11">
        <f ca="1"/>
        <v>15</v>
      </c>
      <c r="AB11" t="str">
        <f ca="1"/>
        <v>Potato</v>
      </c>
      <c r="AC11" t="str">
        <f ca="1"/>
        <v>Kg</v>
      </c>
      <c r="AD11">
        <f ca="1"/>
        <v>10502.82</v>
      </c>
      <c r="AE11">
        <f ca="1"/>
        <v>111</v>
      </c>
      <c r="AG11" t="str">
        <f ca="1"/>
        <v>Onion Leaf</v>
      </c>
      <c r="AH11">
        <f ca="1"/>
        <v>8871.1200000000008</v>
      </c>
    </row>
    <row r="12" spans="1:51" x14ac:dyDescent="0.25">
      <c r="A12" s="7">
        <v>11</v>
      </c>
      <c r="B12" s="11">
        <v>11915.58</v>
      </c>
      <c r="G12" s="7" t="s">
        <v>132</v>
      </c>
      <c r="H12" s="11">
        <v>36124.07</v>
      </c>
      <c r="I12" s="11">
        <v>29306</v>
      </c>
      <c r="J12" s="11"/>
      <c r="K12" s="7" t="s">
        <v>132</v>
      </c>
      <c r="L12" s="11">
        <f t="shared" si="0"/>
        <v>29306</v>
      </c>
      <c r="M12" s="11">
        <f t="shared" si="1"/>
        <v>-6818.07</v>
      </c>
      <c r="N12" s="12">
        <f t="shared" si="2"/>
        <v>-0.2326509929707227</v>
      </c>
      <c r="O12" s="12"/>
      <c r="P12" s="12" t="s">
        <v>132</v>
      </c>
      <c r="Q12" s="12" t="e">
        <v>#N/A</v>
      </c>
      <c r="R12" s="12">
        <v>-6818.07</v>
      </c>
      <c r="S12" s="12">
        <v>-0.2326509929707227</v>
      </c>
      <c r="T12" s="12"/>
      <c r="V12" t="s">
        <v>151</v>
      </c>
      <c r="W12" t="s">
        <v>111</v>
      </c>
      <c r="X12" s="11">
        <v>581.64</v>
      </c>
      <c r="Y12">
        <v>74</v>
      </c>
      <c r="Z12">
        <f t="shared" si="3"/>
        <v>25</v>
      </c>
      <c r="AA12">
        <f ca="1"/>
        <v>43</v>
      </c>
      <c r="AB12" t="str">
        <f ca="1"/>
        <v>Noodles</v>
      </c>
      <c r="AC12" t="str">
        <f ca="1"/>
        <v>No.</v>
      </c>
      <c r="AD12">
        <f ca="1"/>
        <v>581.64</v>
      </c>
      <c r="AE12">
        <f ca="1"/>
        <v>74</v>
      </c>
      <c r="AG12" t="str">
        <f ca="1"/>
        <v>Cabbage</v>
      </c>
      <c r="AH12">
        <f ca="1"/>
        <v>3957.15</v>
      </c>
    </row>
    <row r="13" spans="1:51" x14ac:dyDescent="0.25">
      <c r="A13" s="7">
        <v>12</v>
      </c>
      <c r="B13" s="11">
        <v>14837.36</v>
      </c>
      <c r="G13" s="7" t="s">
        <v>133</v>
      </c>
      <c r="H13" s="11">
        <v>37568.829999999994</v>
      </c>
      <c r="I13" s="11">
        <v>31499</v>
      </c>
      <c r="J13" s="11"/>
      <c r="K13" s="7" t="s">
        <v>133</v>
      </c>
      <c r="L13" s="11">
        <f t="shared" si="0"/>
        <v>31499</v>
      </c>
      <c r="M13" s="11">
        <f t="shared" si="1"/>
        <v>-6069.8299999999945</v>
      </c>
      <c r="N13" s="12">
        <f t="shared" si="2"/>
        <v>-0.19269913330581906</v>
      </c>
      <c r="O13" s="12"/>
      <c r="P13" s="12" t="s">
        <v>133</v>
      </c>
      <c r="Q13" s="12" t="e">
        <v>#N/A</v>
      </c>
      <c r="R13" s="12">
        <v>-6069.8299999999945</v>
      </c>
      <c r="S13" s="12">
        <v>-0.19269913330581906</v>
      </c>
      <c r="T13" s="12"/>
      <c r="V13" t="s">
        <v>152</v>
      </c>
      <c r="W13" t="s">
        <v>110</v>
      </c>
      <c r="X13" s="11">
        <v>16428</v>
      </c>
      <c r="Y13">
        <v>100</v>
      </c>
      <c r="Z13">
        <f t="shared" si="3"/>
        <v>17</v>
      </c>
      <c r="AA13">
        <f ca="1"/>
        <v>6</v>
      </c>
      <c r="AB13" t="str">
        <f ca="1"/>
        <v>Cheese</v>
      </c>
      <c r="AC13" t="str">
        <f ca="1"/>
        <v>Ft</v>
      </c>
      <c r="AD13">
        <f ca="1"/>
        <v>16428</v>
      </c>
      <c r="AE13">
        <f ca="1"/>
        <v>100</v>
      </c>
    </row>
    <row r="14" spans="1:51" x14ac:dyDescent="0.25">
      <c r="A14" s="7">
        <v>13</v>
      </c>
      <c r="B14" s="11">
        <v>8084.26</v>
      </c>
      <c r="J14" s="11"/>
      <c r="L14" t="b">
        <v>1</v>
      </c>
      <c r="M14" t="b">
        <v>1</v>
      </c>
      <c r="N14" t="b">
        <v>1</v>
      </c>
      <c r="Q14" t="b">
        <v>1</v>
      </c>
      <c r="R14" t="b">
        <v>1</v>
      </c>
      <c r="S14" t="b">
        <v>1</v>
      </c>
      <c r="V14" t="s">
        <v>153</v>
      </c>
      <c r="W14" t="s">
        <v>109</v>
      </c>
      <c r="X14" s="11">
        <v>5856.4</v>
      </c>
      <c r="Y14">
        <v>121</v>
      </c>
      <c r="Z14">
        <f t="shared" si="3"/>
        <v>6</v>
      </c>
      <c r="AA14">
        <f ca="1"/>
        <v>31</v>
      </c>
      <c r="AB14" t="str">
        <f ca="1"/>
        <v>Olive Oil</v>
      </c>
      <c r="AC14" t="str">
        <f ca="1"/>
        <v>Lt</v>
      </c>
      <c r="AD14">
        <f ca="1"/>
        <v>5856.4</v>
      </c>
      <c r="AE14">
        <f ca="1"/>
        <v>121</v>
      </c>
    </row>
    <row r="15" spans="1:51" x14ac:dyDescent="0.25">
      <c r="A15" s="7">
        <v>14</v>
      </c>
      <c r="B15" s="11">
        <v>9461.1400000000012</v>
      </c>
      <c r="J15" s="11"/>
      <c r="V15" t="s">
        <v>154</v>
      </c>
      <c r="W15" t="s">
        <v>9</v>
      </c>
      <c r="X15" s="11">
        <v>12053.760000000004</v>
      </c>
      <c r="Y15">
        <v>128</v>
      </c>
      <c r="Z15">
        <f t="shared" si="3"/>
        <v>4</v>
      </c>
      <c r="AA15">
        <f ca="1"/>
        <v>13</v>
      </c>
      <c r="AB15" t="str">
        <f ca="1"/>
        <v>Green chilly</v>
      </c>
      <c r="AC15" t="str">
        <f ca="1"/>
        <v>Kg</v>
      </c>
      <c r="AD15">
        <f ca="1"/>
        <v>12053.760000000004</v>
      </c>
      <c r="AE15">
        <f ca="1"/>
        <v>128</v>
      </c>
    </row>
    <row r="16" spans="1:51" x14ac:dyDescent="0.25">
      <c r="A16" s="7">
        <v>15</v>
      </c>
      <c r="B16" s="11">
        <v>12189.7</v>
      </c>
      <c r="J16" s="11"/>
      <c r="L16" s="7"/>
      <c r="V16" t="s">
        <v>155</v>
      </c>
      <c r="W16" t="s">
        <v>9</v>
      </c>
      <c r="X16" s="11">
        <v>8423.52</v>
      </c>
      <c r="Y16">
        <v>69</v>
      </c>
      <c r="Z16">
        <f t="shared" si="3"/>
        <v>25</v>
      </c>
      <c r="AA16">
        <f ca="1"/>
        <v>22</v>
      </c>
      <c r="AB16" t="str">
        <f ca="1"/>
        <v>Red chilly</v>
      </c>
      <c r="AC16" t="str">
        <f ca="1"/>
        <v>Kg</v>
      </c>
      <c r="AD16">
        <f ca="1"/>
        <v>8423.52</v>
      </c>
      <c r="AE16">
        <f ca="1"/>
        <v>69</v>
      </c>
    </row>
    <row r="17" spans="1:31" x14ac:dyDescent="0.25">
      <c r="A17" s="7">
        <v>16</v>
      </c>
      <c r="B17" s="11">
        <v>12762.63</v>
      </c>
      <c r="J17" s="11"/>
      <c r="L17" s="7"/>
      <c r="V17" t="s">
        <v>156</v>
      </c>
      <c r="W17" t="s">
        <v>9</v>
      </c>
      <c r="X17" s="11">
        <v>12764.640000000001</v>
      </c>
      <c r="Y17">
        <v>87</v>
      </c>
      <c r="Z17">
        <f t="shared" si="3"/>
        <v>18</v>
      </c>
      <c r="AA17">
        <f ca="1"/>
        <v>12</v>
      </c>
      <c r="AB17" t="str">
        <f ca="1"/>
        <v>Brocoli</v>
      </c>
      <c r="AC17" t="str">
        <f ca="1"/>
        <v>Kg</v>
      </c>
      <c r="AD17">
        <f ca="1"/>
        <v>12764.640000000001</v>
      </c>
      <c r="AE17">
        <f ca="1"/>
        <v>87</v>
      </c>
    </row>
    <row r="18" spans="1:31" x14ac:dyDescent="0.25">
      <c r="A18" s="7">
        <v>17</v>
      </c>
      <c r="B18" s="11">
        <v>3659.2400000000002</v>
      </c>
      <c r="J18" s="11"/>
      <c r="L18" s="7"/>
      <c r="V18" t="s">
        <v>157</v>
      </c>
      <c r="W18" t="s">
        <v>111</v>
      </c>
      <c r="X18" s="11">
        <v>1839.2399999999998</v>
      </c>
      <c r="Y18">
        <v>117</v>
      </c>
      <c r="Z18">
        <f t="shared" si="3"/>
        <v>5</v>
      </c>
      <c r="AA18">
        <f ca="1"/>
        <v>40</v>
      </c>
      <c r="AB18" t="str">
        <f ca="1"/>
        <v>Butter</v>
      </c>
      <c r="AC18" t="str">
        <f ca="1"/>
        <v>No.</v>
      </c>
      <c r="AD18">
        <f ca="1"/>
        <v>1839.2399999999998</v>
      </c>
      <c r="AE18">
        <f ca="1"/>
        <v>117</v>
      </c>
    </row>
    <row r="19" spans="1:31" x14ac:dyDescent="0.25">
      <c r="A19" s="7">
        <v>18</v>
      </c>
      <c r="B19" s="11">
        <v>18582.39</v>
      </c>
      <c r="J19" s="11"/>
      <c r="L19" s="7"/>
      <c r="V19" t="s">
        <v>158</v>
      </c>
      <c r="W19" t="s">
        <v>9</v>
      </c>
      <c r="X19" s="11">
        <v>9764.7199999999993</v>
      </c>
      <c r="Y19">
        <v>94</v>
      </c>
      <c r="Z19">
        <f t="shared" si="3"/>
        <v>15</v>
      </c>
      <c r="AA19">
        <f ca="1"/>
        <v>19</v>
      </c>
      <c r="AB19" t="str">
        <f ca="1"/>
        <v>Bread</v>
      </c>
      <c r="AC19" t="str">
        <f ca="1"/>
        <v>Kg</v>
      </c>
      <c r="AD19">
        <f ca="1"/>
        <v>9764.7199999999993</v>
      </c>
      <c r="AE19">
        <f ca="1"/>
        <v>94</v>
      </c>
    </row>
    <row r="20" spans="1:31" x14ac:dyDescent="0.25">
      <c r="A20" s="7">
        <v>19</v>
      </c>
      <c r="B20" s="11">
        <v>10204.23</v>
      </c>
      <c r="L20" s="7"/>
      <c r="V20" t="s">
        <v>159</v>
      </c>
      <c r="W20" t="s">
        <v>110</v>
      </c>
      <c r="X20" s="11">
        <v>9877.1400000000012</v>
      </c>
      <c r="Y20">
        <v>63</v>
      </c>
      <c r="Z20">
        <f t="shared" si="3"/>
        <v>25</v>
      </c>
      <c r="AA20">
        <f ca="1"/>
        <v>18</v>
      </c>
      <c r="AB20" t="str">
        <f ca="1"/>
        <v>Peanut Butter</v>
      </c>
      <c r="AC20" t="str">
        <f ca="1"/>
        <v>Ft</v>
      </c>
      <c r="AD20">
        <f ca="1"/>
        <v>9877.1400000000012</v>
      </c>
      <c r="AE20">
        <f ca="1"/>
        <v>63</v>
      </c>
    </row>
    <row r="21" spans="1:31" x14ac:dyDescent="0.25">
      <c r="A21" s="7">
        <v>20</v>
      </c>
      <c r="B21" s="11">
        <v>20482.780000000006</v>
      </c>
      <c r="L21" s="7"/>
      <c r="V21" t="s">
        <v>160</v>
      </c>
      <c r="W21" t="s">
        <v>111</v>
      </c>
      <c r="X21" s="11">
        <v>4035.2200000000003</v>
      </c>
      <c r="Y21">
        <v>82</v>
      </c>
      <c r="Z21">
        <f t="shared" si="3"/>
        <v>17</v>
      </c>
      <c r="AA21">
        <f ca="1"/>
        <v>36</v>
      </c>
      <c r="AB21" t="str">
        <f ca="1"/>
        <v>Note Book</v>
      </c>
      <c r="AC21" t="str">
        <f ca="1"/>
        <v>No.</v>
      </c>
      <c r="AD21">
        <f ca="1"/>
        <v>4035.2200000000003</v>
      </c>
      <c r="AE21">
        <f ca="1"/>
        <v>82</v>
      </c>
    </row>
    <row r="22" spans="1:31" x14ac:dyDescent="0.25">
      <c r="A22" s="7">
        <v>21</v>
      </c>
      <c r="B22" s="11">
        <v>10665.4</v>
      </c>
      <c r="L22" s="7"/>
      <c r="V22" t="s">
        <v>161</v>
      </c>
      <c r="W22" t="s">
        <v>110</v>
      </c>
      <c r="X22" s="11">
        <v>20160</v>
      </c>
      <c r="Y22">
        <v>96</v>
      </c>
      <c r="Z22">
        <f t="shared" si="3"/>
        <v>14</v>
      </c>
      <c r="AA22">
        <f ca="1"/>
        <v>4</v>
      </c>
      <c r="AB22" t="str">
        <f ca="1"/>
        <v>Bucket</v>
      </c>
      <c r="AC22" t="str">
        <f ca="1"/>
        <v>Ft</v>
      </c>
      <c r="AD22">
        <f ca="1"/>
        <v>20160</v>
      </c>
      <c r="AE22">
        <f ca="1"/>
        <v>96</v>
      </c>
    </row>
    <row r="23" spans="1:31" x14ac:dyDescent="0.25">
      <c r="A23" s="7">
        <v>22</v>
      </c>
      <c r="B23" s="11">
        <v>11315.839999999997</v>
      </c>
      <c r="L23" s="7"/>
      <c r="V23" t="s">
        <v>162</v>
      </c>
      <c r="W23" t="s">
        <v>109</v>
      </c>
      <c r="X23" s="11">
        <v>8006.25</v>
      </c>
      <c r="Y23">
        <v>105</v>
      </c>
      <c r="Z23">
        <f t="shared" si="3"/>
        <v>11</v>
      </c>
      <c r="AA23">
        <f ca="1"/>
        <v>23</v>
      </c>
      <c r="AB23" t="str">
        <f ca="1"/>
        <v>Almond Oil</v>
      </c>
      <c r="AC23" t="str">
        <f ca="1"/>
        <v>Lt</v>
      </c>
      <c r="AD23">
        <f ca="1"/>
        <v>8006.25</v>
      </c>
      <c r="AE23">
        <f ca="1"/>
        <v>105</v>
      </c>
    </row>
    <row r="24" spans="1:31" x14ac:dyDescent="0.25">
      <c r="A24" s="7">
        <v>23</v>
      </c>
      <c r="B24" s="11">
        <v>18818.190000000002</v>
      </c>
      <c r="L24" s="7"/>
      <c r="V24" t="s">
        <v>163</v>
      </c>
      <c r="W24" t="s">
        <v>110</v>
      </c>
      <c r="X24" s="11">
        <v>10727.64</v>
      </c>
      <c r="Y24">
        <v>66</v>
      </c>
      <c r="Z24">
        <f t="shared" si="3"/>
        <v>20</v>
      </c>
      <c r="AA24">
        <f ca="1"/>
        <v>14</v>
      </c>
      <c r="AB24" t="str">
        <f ca="1"/>
        <v>Soap</v>
      </c>
      <c r="AC24" t="str">
        <f ca="1"/>
        <v>Ft</v>
      </c>
      <c r="AD24">
        <f ca="1"/>
        <v>10727.64</v>
      </c>
      <c r="AE24">
        <f ca="1"/>
        <v>66</v>
      </c>
    </row>
    <row r="25" spans="1:31" x14ac:dyDescent="0.25">
      <c r="A25" s="7">
        <v>24</v>
      </c>
      <c r="B25" s="11">
        <v>11488.4</v>
      </c>
      <c r="L25" s="7"/>
      <c r="V25" t="s">
        <v>164</v>
      </c>
      <c r="W25" t="s">
        <v>110</v>
      </c>
      <c r="X25" s="11">
        <v>9909.9</v>
      </c>
      <c r="Y25">
        <v>70</v>
      </c>
      <c r="Z25">
        <f t="shared" si="3"/>
        <v>18</v>
      </c>
      <c r="AA25">
        <f ca="1"/>
        <v>17</v>
      </c>
      <c r="AB25" t="str">
        <f ca="1"/>
        <v>Washing soap</v>
      </c>
      <c r="AC25" t="str">
        <f ca="1"/>
        <v>Ft</v>
      </c>
      <c r="AD25">
        <f ca="1"/>
        <v>9909.9</v>
      </c>
      <c r="AE25">
        <f ca="1"/>
        <v>70</v>
      </c>
    </row>
    <row r="26" spans="1:31" x14ac:dyDescent="0.25">
      <c r="A26" s="7">
        <v>25</v>
      </c>
      <c r="B26" s="11">
        <v>18688.43</v>
      </c>
      <c r="L26" s="7"/>
      <c r="V26" t="s">
        <v>165</v>
      </c>
      <c r="W26" t="s">
        <v>110</v>
      </c>
      <c r="X26" s="11">
        <v>12853.560000000001</v>
      </c>
      <c r="Y26">
        <v>86</v>
      </c>
      <c r="Z26">
        <f t="shared" si="3"/>
        <v>14</v>
      </c>
      <c r="AA26">
        <f ca="1"/>
        <v>11</v>
      </c>
      <c r="AB26" t="str">
        <f ca="1"/>
        <v>Bathing Soap</v>
      </c>
      <c r="AC26" t="str">
        <f ca="1"/>
        <v>Ft</v>
      </c>
      <c r="AD26">
        <f ca="1"/>
        <v>12853.560000000001</v>
      </c>
      <c r="AE26">
        <f ca="1"/>
        <v>86</v>
      </c>
    </row>
    <row r="27" spans="1:31" x14ac:dyDescent="0.25">
      <c r="A27" s="7">
        <v>26</v>
      </c>
      <c r="B27" s="11">
        <v>13710.08</v>
      </c>
      <c r="L27" s="7"/>
      <c r="V27" t="s">
        <v>166</v>
      </c>
      <c r="W27" t="s">
        <v>110</v>
      </c>
      <c r="X27" s="11">
        <v>10202.400000000001</v>
      </c>
      <c r="Y27">
        <v>65</v>
      </c>
      <c r="Z27">
        <f t="shared" si="3"/>
        <v>18</v>
      </c>
      <c r="AA27">
        <f ca="1"/>
        <v>16</v>
      </c>
      <c r="AB27" t="str">
        <f ca="1"/>
        <v>Dish washer</v>
      </c>
      <c r="AC27" t="str">
        <f ca="1"/>
        <v>Ft</v>
      </c>
      <c r="AD27">
        <f ca="1"/>
        <v>10202.400000000001</v>
      </c>
      <c r="AE27">
        <f ca="1"/>
        <v>65</v>
      </c>
    </row>
    <row r="28" spans="1:31" x14ac:dyDescent="0.25">
      <c r="A28" s="7">
        <v>27</v>
      </c>
      <c r="B28" s="11">
        <v>11440.67</v>
      </c>
      <c r="V28" t="s">
        <v>167</v>
      </c>
      <c r="W28" t="s">
        <v>111</v>
      </c>
      <c r="X28" s="11">
        <v>599.7600000000001</v>
      </c>
      <c r="Y28">
        <v>72</v>
      </c>
      <c r="Z28">
        <f t="shared" si="3"/>
        <v>16</v>
      </c>
      <c r="AA28">
        <f ca="1"/>
        <v>42</v>
      </c>
      <c r="AB28" t="str">
        <f ca="1"/>
        <v>Mugs</v>
      </c>
      <c r="AC28" t="str">
        <f ca="1"/>
        <v>No.</v>
      </c>
      <c r="AD28">
        <f ca="1"/>
        <v>599.7600000000001</v>
      </c>
      <c r="AE28">
        <f ca="1"/>
        <v>72</v>
      </c>
    </row>
    <row r="29" spans="1:31" x14ac:dyDescent="0.25">
      <c r="A29" s="7">
        <v>28</v>
      </c>
      <c r="B29" s="11">
        <v>13306.159999999998</v>
      </c>
      <c r="V29" t="s">
        <v>168</v>
      </c>
      <c r="W29" t="s">
        <v>111</v>
      </c>
      <c r="X29" s="11">
        <v>2761.9200000000005</v>
      </c>
      <c r="Y29">
        <v>112</v>
      </c>
      <c r="Z29">
        <f t="shared" si="3"/>
        <v>7</v>
      </c>
      <c r="AA29">
        <f ca="1"/>
        <v>38</v>
      </c>
      <c r="AB29" t="str">
        <f ca="1"/>
        <v>Glass</v>
      </c>
      <c r="AC29" t="str">
        <f ca="1"/>
        <v>No.</v>
      </c>
      <c r="AD29">
        <f ca="1"/>
        <v>2761.9200000000005</v>
      </c>
      <c r="AE29">
        <f ca="1"/>
        <v>112</v>
      </c>
    </row>
    <row r="30" spans="1:31" x14ac:dyDescent="0.25">
      <c r="A30" s="7">
        <v>29</v>
      </c>
      <c r="B30" s="11">
        <v>8794.48</v>
      </c>
      <c r="V30" t="s">
        <v>169</v>
      </c>
      <c r="W30" t="s">
        <v>109</v>
      </c>
      <c r="X30" s="11">
        <v>6226.0800000000008</v>
      </c>
      <c r="Y30">
        <v>109</v>
      </c>
      <c r="Z30">
        <f t="shared" si="3"/>
        <v>9</v>
      </c>
      <c r="AA30">
        <f ca="1"/>
        <v>28</v>
      </c>
      <c r="AB30" t="str">
        <f ca="1"/>
        <v>Liquid soap</v>
      </c>
      <c r="AC30" t="str">
        <f ca="1"/>
        <v>Lt</v>
      </c>
      <c r="AD30">
        <f ca="1"/>
        <v>6226.0800000000008</v>
      </c>
      <c r="AE30">
        <f ca="1"/>
        <v>109</v>
      </c>
    </row>
    <row r="31" spans="1:31" x14ac:dyDescent="0.25">
      <c r="A31" s="7">
        <v>30</v>
      </c>
      <c r="B31" s="11">
        <v>16666.27</v>
      </c>
      <c r="V31" t="s">
        <v>170</v>
      </c>
      <c r="W31" t="s">
        <v>111</v>
      </c>
      <c r="X31" s="11">
        <v>4682.72</v>
      </c>
      <c r="Y31">
        <v>112</v>
      </c>
      <c r="Z31">
        <f t="shared" si="3"/>
        <v>7</v>
      </c>
      <c r="AA31">
        <f ca="1"/>
        <v>34</v>
      </c>
      <c r="AB31" t="str">
        <f ca="1"/>
        <v>Soa Bean</v>
      </c>
      <c r="AC31" t="str">
        <f ca="1"/>
        <v>No.</v>
      </c>
      <c r="AD31">
        <f ca="1"/>
        <v>4682.72</v>
      </c>
      <c r="AE31">
        <f ca="1"/>
        <v>112</v>
      </c>
    </row>
    <row r="32" spans="1:31" x14ac:dyDescent="0.25">
      <c r="A32" s="7">
        <v>31</v>
      </c>
      <c r="B32" s="11">
        <v>7390.9499999999989</v>
      </c>
      <c r="V32" t="s">
        <v>171</v>
      </c>
      <c r="W32" t="s">
        <v>109</v>
      </c>
      <c r="X32" s="11">
        <v>5523.44</v>
      </c>
      <c r="Y32">
        <v>104</v>
      </c>
      <c r="Z32">
        <f t="shared" si="3"/>
        <v>9</v>
      </c>
      <c r="AA32">
        <f ca="1"/>
        <v>32</v>
      </c>
      <c r="AB32" t="str">
        <f ca="1"/>
        <v>Milk</v>
      </c>
      <c r="AC32" t="str">
        <f ca="1"/>
        <v>Lt</v>
      </c>
      <c r="AD32">
        <f ca="1"/>
        <v>5523.44</v>
      </c>
      <c r="AE32">
        <f ca="1"/>
        <v>104</v>
      </c>
    </row>
    <row r="33" spans="22:31" x14ac:dyDescent="0.25">
      <c r="V33" t="s">
        <v>172</v>
      </c>
      <c r="W33" t="s">
        <v>110</v>
      </c>
      <c r="X33" s="11">
        <v>22945.919999999998</v>
      </c>
      <c r="Y33">
        <v>114</v>
      </c>
      <c r="Z33">
        <f t="shared" si="3"/>
        <v>5</v>
      </c>
      <c r="AA33">
        <f ca="1"/>
        <v>2</v>
      </c>
      <c r="AB33" t="str">
        <f ca="1"/>
        <v>Plates</v>
      </c>
      <c r="AC33" t="str">
        <f ca="1"/>
        <v>Ft</v>
      </c>
      <c r="AD33">
        <f ca="1"/>
        <v>22945.919999999998</v>
      </c>
      <c r="AE33">
        <f ca="1"/>
        <v>114</v>
      </c>
    </row>
    <row r="34" spans="22:31" x14ac:dyDescent="0.25">
      <c r="V34" t="s">
        <v>173</v>
      </c>
      <c r="W34" t="s">
        <v>9</v>
      </c>
      <c r="X34" s="11">
        <v>6249.5999999999995</v>
      </c>
      <c r="Y34">
        <v>60</v>
      </c>
      <c r="Z34">
        <f t="shared" si="3"/>
        <v>12</v>
      </c>
      <c r="AA34">
        <f ca="1"/>
        <v>27</v>
      </c>
      <c r="AB34" t="str">
        <f ca="1"/>
        <v>Rice flour</v>
      </c>
      <c r="AC34" t="str">
        <f ca="1"/>
        <v>Kg</v>
      </c>
      <c r="AD34">
        <f ca="1"/>
        <v>6249.5999999999995</v>
      </c>
      <c r="AE34">
        <f ca="1"/>
        <v>60</v>
      </c>
    </row>
    <row r="35" spans="22:31" x14ac:dyDescent="0.25">
      <c r="V35" t="s">
        <v>175</v>
      </c>
      <c r="W35" t="s">
        <v>9</v>
      </c>
      <c r="X35" s="11">
        <v>13645.800000000001</v>
      </c>
      <c r="Y35">
        <v>114</v>
      </c>
      <c r="Z35">
        <f t="shared" si="3"/>
        <v>5</v>
      </c>
      <c r="AA35">
        <f ca="1"/>
        <v>9</v>
      </c>
      <c r="AB35" t="str">
        <f ca="1"/>
        <v>Grains</v>
      </c>
      <c r="AC35" t="str">
        <f ca="1"/>
        <v>Kg</v>
      </c>
      <c r="AD35">
        <f ca="1"/>
        <v>13645.800000000001</v>
      </c>
      <c r="AE35">
        <f ca="1"/>
        <v>114</v>
      </c>
    </row>
    <row r="36" spans="22:31" x14ac:dyDescent="0.25">
      <c r="V36" t="s">
        <v>176</v>
      </c>
      <c r="W36" t="s">
        <v>109</v>
      </c>
      <c r="X36" s="11">
        <v>8978.2000000000007</v>
      </c>
      <c r="Y36">
        <v>154</v>
      </c>
      <c r="Z36">
        <f t="shared" si="3"/>
        <v>2</v>
      </c>
      <c r="AA36">
        <f ca="1"/>
        <v>20</v>
      </c>
      <c r="AB36" t="str">
        <f ca="1"/>
        <v>water cane</v>
      </c>
      <c r="AC36" t="str">
        <f ca="1"/>
        <v>Lt</v>
      </c>
      <c r="AD36">
        <f ca="1"/>
        <v>8978.2000000000007</v>
      </c>
      <c r="AE36">
        <f ca="1"/>
        <v>154</v>
      </c>
    </row>
    <row r="37" spans="22:31" x14ac:dyDescent="0.25">
      <c r="V37" t="s">
        <v>177</v>
      </c>
      <c r="W37" t="s">
        <v>111</v>
      </c>
      <c r="X37" s="11">
        <v>703.5</v>
      </c>
      <c r="Y37">
        <v>105</v>
      </c>
      <c r="Z37">
        <f t="shared" si="3"/>
        <v>5</v>
      </c>
      <c r="AA37">
        <f ca="1"/>
        <v>41</v>
      </c>
      <c r="AB37" t="str">
        <f ca="1"/>
        <v>bun</v>
      </c>
      <c r="AC37" t="str">
        <f ca="1"/>
        <v>No.</v>
      </c>
      <c r="AD37">
        <f ca="1"/>
        <v>703.5</v>
      </c>
      <c r="AE37">
        <f ca="1"/>
        <v>105</v>
      </c>
    </row>
    <row r="38" spans="22:31" x14ac:dyDescent="0.25">
      <c r="V38" t="s">
        <v>178</v>
      </c>
      <c r="W38" t="s">
        <v>9</v>
      </c>
      <c r="X38" s="11">
        <v>7222.5</v>
      </c>
      <c r="Y38">
        <v>75</v>
      </c>
      <c r="Z38">
        <f t="shared" si="3"/>
        <v>6</v>
      </c>
      <c r="AA38">
        <f ca="1"/>
        <v>25</v>
      </c>
      <c r="AB38" t="str">
        <f ca="1"/>
        <v>carrot</v>
      </c>
      <c r="AC38" t="str">
        <f ca="1"/>
        <v>Kg</v>
      </c>
      <c r="AD38">
        <f ca="1"/>
        <v>7222.5</v>
      </c>
      <c r="AE38">
        <f ca="1"/>
        <v>75</v>
      </c>
    </row>
    <row r="39" spans="22:31" x14ac:dyDescent="0.25">
      <c r="V39" t="s">
        <v>179</v>
      </c>
      <c r="W39" t="s">
        <v>9</v>
      </c>
      <c r="X39" s="11">
        <v>5145.6000000000004</v>
      </c>
      <c r="Y39">
        <v>60</v>
      </c>
      <c r="Z39">
        <f t="shared" si="3"/>
        <v>8</v>
      </c>
      <c r="AA39">
        <f ca="1"/>
        <v>33</v>
      </c>
      <c r="AB39" t="str">
        <f ca="1"/>
        <v>Beetroot</v>
      </c>
      <c r="AC39" t="str">
        <f ca="1"/>
        <v>Kg</v>
      </c>
      <c r="AD39">
        <f ca="1"/>
        <v>5145.6000000000004</v>
      </c>
      <c r="AE39">
        <f ca="1"/>
        <v>60</v>
      </c>
    </row>
    <row r="40" spans="22:31" x14ac:dyDescent="0.25">
      <c r="V40" t="s">
        <v>180</v>
      </c>
      <c r="W40" t="s">
        <v>9</v>
      </c>
      <c r="X40" s="11">
        <v>8871.1200000000008</v>
      </c>
      <c r="Y40">
        <v>111</v>
      </c>
      <c r="Z40">
        <f t="shared" si="3"/>
        <v>4</v>
      </c>
      <c r="AA40">
        <f ca="1"/>
        <v>21</v>
      </c>
      <c r="AB40" t="str">
        <f ca="1"/>
        <v>Onion Leaf</v>
      </c>
      <c r="AC40" t="str">
        <f ca="1"/>
        <v>Kg</v>
      </c>
      <c r="AD40">
        <f ca="1"/>
        <v>8871.1200000000008</v>
      </c>
      <c r="AE40">
        <f ca="1"/>
        <v>111</v>
      </c>
    </row>
    <row r="41" spans="22:31" x14ac:dyDescent="0.25">
      <c r="V41" t="s">
        <v>181</v>
      </c>
      <c r="W41" t="s">
        <v>111</v>
      </c>
      <c r="X41" s="11">
        <v>3957.15</v>
      </c>
      <c r="Y41">
        <v>93</v>
      </c>
      <c r="Z41">
        <f t="shared" si="3"/>
        <v>4</v>
      </c>
      <c r="AA41">
        <f ca="1"/>
        <v>37</v>
      </c>
      <c r="AB41" t="str">
        <f ca="1"/>
        <v>Cabbage</v>
      </c>
      <c r="AC41" t="str">
        <f ca="1"/>
        <v>No.</v>
      </c>
      <c r="AD41">
        <f ca="1"/>
        <v>3957.15</v>
      </c>
      <c r="AE41">
        <f ca="1"/>
        <v>93</v>
      </c>
    </row>
    <row r="42" spans="22:31" x14ac:dyDescent="0.25">
      <c r="V42" t="s">
        <v>182</v>
      </c>
      <c r="W42" t="s">
        <v>9</v>
      </c>
      <c r="X42" s="11">
        <v>7718.4000000000005</v>
      </c>
      <c r="Y42">
        <v>67</v>
      </c>
      <c r="Z42">
        <f t="shared" si="3"/>
        <v>5</v>
      </c>
      <c r="AA42">
        <f ca="1"/>
        <v>24</v>
      </c>
      <c r="AB42" t="str">
        <f ca="1"/>
        <v>Apples</v>
      </c>
      <c r="AC42" t="str">
        <f ca="1"/>
        <v>Kg</v>
      </c>
      <c r="AD42">
        <f ca="1"/>
        <v>7718.4000000000005</v>
      </c>
      <c r="AE42">
        <f ca="1"/>
        <v>67</v>
      </c>
    </row>
    <row r="43" spans="22:31" x14ac:dyDescent="0.25">
      <c r="V43" t="s">
        <v>183</v>
      </c>
      <c r="W43" t="s">
        <v>110</v>
      </c>
      <c r="X43" s="11">
        <v>22952.16</v>
      </c>
      <c r="Y43">
        <v>132</v>
      </c>
      <c r="Z43">
        <f t="shared" si="3"/>
        <v>2</v>
      </c>
      <c r="AA43">
        <f ca="1"/>
        <v>1</v>
      </c>
      <c r="AB43" t="str">
        <f ca="1"/>
        <v>Meat</v>
      </c>
      <c r="AC43" t="str">
        <f ca="1"/>
        <v>Ft</v>
      </c>
      <c r="AD43">
        <f ca="1"/>
        <v>22952.16</v>
      </c>
      <c r="AE43">
        <f ca="1"/>
        <v>132</v>
      </c>
    </row>
    <row r="44" spans="22:31" x14ac:dyDescent="0.25">
      <c r="V44" t="s">
        <v>184</v>
      </c>
      <c r="W44" t="s">
        <v>110</v>
      </c>
      <c r="X44" s="11">
        <v>20574</v>
      </c>
      <c r="Y44">
        <v>127</v>
      </c>
      <c r="AA44">
        <f ca="1"/>
        <v>3</v>
      </c>
      <c r="AB44" t="str">
        <f ca="1"/>
        <v>Chicken</v>
      </c>
      <c r="AC44" t="str">
        <f ca="1"/>
        <v>Ft</v>
      </c>
      <c r="AD44">
        <f ca="1"/>
        <v>20574</v>
      </c>
      <c r="AE44">
        <f ca="1"/>
        <v>127</v>
      </c>
    </row>
    <row r="45" spans="22:31" x14ac:dyDescent="0.25">
      <c r="V45" t="s">
        <v>185</v>
      </c>
      <c r="W45" t="s">
        <v>9</v>
      </c>
      <c r="X45" s="11">
        <v>6064.8399999999992</v>
      </c>
      <c r="Y45">
        <v>73</v>
      </c>
      <c r="AA45">
        <f ca="1"/>
        <v>29</v>
      </c>
      <c r="AB45" t="str">
        <f ca="1"/>
        <v>Pork</v>
      </c>
      <c r="AC45" t="str">
        <f ca="1"/>
        <v>Kg</v>
      </c>
      <c r="AD45">
        <f ca="1"/>
        <v>6064.8399999999992</v>
      </c>
      <c r="AE45">
        <f ca="1"/>
        <v>73</v>
      </c>
    </row>
    <row r="46" spans="22:31" x14ac:dyDescent="0.25">
      <c r="V46" t="s">
        <v>186</v>
      </c>
      <c r="W46" t="s">
        <v>9</v>
      </c>
      <c r="X46" s="11">
        <v>16333.92</v>
      </c>
      <c r="Y46">
        <v>199</v>
      </c>
      <c r="AA46">
        <f ca="1"/>
        <v>7</v>
      </c>
      <c r="AB46" t="str">
        <f ca="1"/>
        <v>Grape</v>
      </c>
      <c r="AC46" t="str">
        <f ca="1"/>
        <v>Kg</v>
      </c>
      <c r="AD46">
        <f ca="1"/>
        <v>16333.92</v>
      </c>
      <c r="AE46">
        <f ca="1"/>
        <v>199</v>
      </c>
    </row>
  </sheetData>
  <pageMargins left="0.7" right="0.7" top="0.75" bottom="0.75" header="0.3" footer="0.3"/>
  <drawing r:id="rId8"/>
  <legacyDrawing r:id="rId9"/>
  <mc:AlternateContent xmlns:mc="http://schemas.openxmlformats.org/markup-compatibility/2006">
    <mc:Choice Requires="x14">
      <controls>
        <mc:AlternateContent xmlns:mc="http://schemas.openxmlformats.org/markup-compatibility/2006">
          <mc:Choice Requires="x14">
            <control shapeId="3078" r:id="rId10" name="Check Box 6">
              <controlPr defaultSize="0" autoFill="0" autoLine="0" autoPict="0">
                <anchor moveWithCells="1">
                  <from>
                    <xdr:col>11</xdr:col>
                    <xdr:colOff>114300</xdr:colOff>
                    <xdr:row>15</xdr:row>
                    <xdr:rowOff>9525</xdr:rowOff>
                  </from>
                  <to>
                    <xdr:col>12</xdr:col>
                    <xdr:colOff>9525</xdr:colOff>
                    <xdr:row>16</xdr:row>
                    <xdr:rowOff>38100</xdr:rowOff>
                  </to>
                </anchor>
              </controlPr>
            </control>
          </mc:Choice>
        </mc:AlternateContent>
        <mc:AlternateContent xmlns:mc="http://schemas.openxmlformats.org/markup-compatibility/2006">
          <mc:Choice Requires="x14">
            <control shapeId="3079" r:id="rId11" name="Check Box 7">
              <controlPr defaultSize="0" autoFill="0" autoLine="0" autoPict="0">
                <anchor moveWithCells="1">
                  <from>
                    <xdr:col>12</xdr:col>
                    <xdr:colOff>47625</xdr:colOff>
                    <xdr:row>14</xdr:row>
                    <xdr:rowOff>180975</xdr:rowOff>
                  </from>
                  <to>
                    <xdr:col>13</xdr:col>
                    <xdr:colOff>76200</xdr:colOff>
                    <xdr:row>16</xdr:row>
                    <xdr:rowOff>19050</xdr:rowOff>
                  </to>
                </anchor>
              </controlPr>
            </control>
          </mc:Choice>
        </mc:AlternateContent>
        <mc:AlternateContent xmlns:mc="http://schemas.openxmlformats.org/markup-compatibility/2006">
          <mc:Choice Requires="x14">
            <control shapeId="3080" r:id="rId12" name="Check Box 8">
              <controlPr defaultSize="0" autoFill="0" autoLine="0" autoPict="0">
                <anchor moveWithCells="1">
                  <from>
                    <xdr:col>13</xdr:col>
                    <xdr:colOff>171450</xdr:colOff>
                    <xdr:row>15</xdr:row>
                    <xdr:rowOff>19050</xdr:rowOff>
                  </from>
                  <to>
                    <xdr:col>15</xdr:col>
                    <xdr:colOff>0</xdr:colOff>
                    <xdr:row>16</xdr:row>
                    <xdr:rowOff>47625</xdr:rowOff>
                  </to>
                </anchor>
              </controlPr>
            </control>
          </mc:Choice>
        </mc:AlternateContent>
        <mc:AlternateContent xmlns:mc="http://schemas.openxmlformats.org/markup-compatibility/2006">
          <mc:Choice Requires="x14">
            <control shapeId="3081" r:id="rId13" name="Scroll Bar 9">
              <controlPr defaultSize="0" autoPict="0">
                <anchor moveWithCells="1">
                  <from>
                    <xdr:col>32</xdr:col>
                    <xdr:colOff>76200</xdr:colOff>
                    <xdr:row>13</xdr:row>
                    <xdr:rowOff>85725</xdr:rowOff>
                  </from>
                  <to>
                    <xdr:col>32</xdr:col>
                    <xdr:colOff>428625</xdr:colOff>
                    <xdr:row>27</xdr:row>
                    <xdr:rowOff>190500</xdr:rowOff>
                  </to>
                </anchor>
              </controlPr>
            </control>
          </mc:Choice>
        </mc:AlternateContent>
      </controls>
    </mc:Choice>
  </mc:AlternateContent>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FFF33-31C0-490C-8455-8D7F9A062960}">
  <sheetPr codeName="Sheet5"/>
  <dimension ref="B6:O30"/>
  <sheetViews>
    <sheetView showGridLines="0" zoomScale="80" zoomScaleNormal="80" workbookViewId="0">
      <selection activeCell="U18" sqref="U18"/>
    </sheetView>
  </sheetViews>
  <sheetFormatPr defaultRowHeight="15" x14ac:dyDescent="0.25"/>
  <sheetData>
    <row r="6" spans="2:15" x14ac:dyDescent="0.25">
      <c r="B6" t="e" vm="1">
        <v>#VALUE!</v>
      </c>
    </row>
    <row r="11" spans="2:15" x14ac:dyDescent="0.25">
      <c r="O11" t="e" vm="2">
        <v>#VALUE!</v>
      </c>
    </row>
    <row r="12" spans="2:15" x14ac:dyDescent="0.25">
      <c r="O12" t="e" vm="3">
        <v>#VALUE!</v>
      </c>
    </row>
    <row r="13" spans="2:15" x14ac:dyDescent="0.25">
      <c r="O13" t="e" vm="4">
        <v>#VALUE!</v>
      </c>
    </row>
    <row r="14" spans="2:15" x14ac:dyDescent="0.25">
      <c r="O14" t="e" vm="1">
        <v>#VALUE!</v>
      </c>
    </row>
    <row r="15" spans="2:15" x14ac:dyDescent="0.25">
      <c r="O15" t="e" vm="5">
        <v>#VALUE!</v>
      </c>
    </row>
    <row r="16" spans="2:15" x14ac:dyDescent="0.25">
      <c r="O16" t="e" vm="6">
        <v>#VALUE!</v>
      </c>
    </row>
    <row r="17" spans="15:15" x14ac:dyDescent="0.25">
      <c r="O17" t="e" vm="7">
        <v>#VALUE!</v>
      </c>
    </row>
    <row r="18" spans="15:15" x14ac:dyDescent="0.25">
      <c r="O18" t="e" vm="8">
        <v>#VALUE!</v>
      </c>
    </row>
    <row r="19" spans="15:15" x14ac:dyDescent="0.25">
      <c r="O19" t="e" vm="9">
        <v>#VALUE!</v>
      </c>
    </row>
    <row r="20" spans="15:15" x14ac:dyDescent="0.25">
      <c r="O20" t="e" vm="10">
        <v>#VALUE!</v>
      </c>
    </row>
    <row r="21" spans="15:15" x14ac:dyDescent="0.25">
      <c r="O21" t="e" vm="11">
        <v>#VALUE!</v>
      </c>
    </row>
    <row r="22" spans="15:15" x14ac:dyDescent="0.25">
      <c r="O22" t="e" vm="12">
        <v>#VALUE!</v>
      </c>
    </row>
    <row r="23" spans="15:15" x14ac:dyDescent="0.25">
      <c r="O23" t="e" vm="13">
        <v>#VALUE!</v>
      </c>
    </row>
    <row r="24" spans="15:15" x14ac:dyDescent="0.25">
      <c r="O24" t="e" vm="2">
        <v>#VALUE!</v>
      </c>
    </row>
    <row r="30" spans="15:15" x14ac:dyDescent="0.25">
      <c r="O30" t="e" vm="7">
        <v>#VALUE!</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8" r:id="rId3" name="Check Box 2">
              <controlPr defaultSize="0" autoFill="0" autoLine="0" autoPict="0">
                <anchor moveWithCells="1">
                  <from>
                    <xdr:col>4</xdr:col>
                    <xdr:colOff>257175</xdr:colOff>
                    <xdr:row>19</xdr:row>
                    <xdr:rowOff>66675</xdr:rowOff>
                  </from>
                  <to>
                    <xdr:col>4</xdr:col>
                    <xdr:colOff>504825</xdr:colOff>
                    <xdr:row>20</xdr:row>
                    <xdr:rowOff>57150</xdr:rowOff>
                  </to>
                </anchor>
              </controlPr>
            </control>
          </mc:Choice>
        </mc:AlternateContent>
        <mc:AlternateContent xmlns:mc="http://schemas.openxmlformats.org/markup-compatibility/2006">
          <mc:Choice Requires="x14">
            <control shapeId="4105" r:id="rId4" name="Check Box 9">
              <controlPr defaultSize="0" autoFill="0" autoLine="0" autoPict="0">
                <anchor moveWithCells="1">
                  <from>
                    <xdr:col>7</xdr:col>
                    <xdr:colOff>400050</xdr:colOff>
                    <xdr:row>19</xdr:row>
                    <xdr:rowOff>66675</xdr:rowOff>
                  </from>
                  <to>
                    <xdr:col>7</xdr:col>
                    <xdr:colOff>600075</xdr:colOff>
                    <xdr:row>20</xdr:row>
                    <xdr:rowOff>47625</xdr:rowOff>
                  </to>
                </anchor>
              </controlPr>
            </control>
          </mc:Choice>
        </mc:AlternateContent>
        <mc:AlternateContent xmlns:mc="http://schemas.openxmlformats.org/markup-compatibility/2006">
          <mc:Choice Requires="x14">
            <control shapeId="4106" r:id="rId5" name="Check Box 10">
              <controlPr defaultSize="0" autoFill="0" autoLine="0" autoPict="0">
                <anchor moveWithCells="1">
                  <from>
                    <xdr:col>5</xdr:col>
                    <xdr:colOff>523875</xdr:colOff>
                    <xdr:row>19</xdr:row>
                    <xdr:rowOff>57150</xdr:rowOff>
                  </from>
                  <to>
                    <xdr:col>6</xdr:col>
                    <xdr:colOff>114300</xdr:colOff>
                    <xdr:row>20</xdr:row>
                    <xdr:rowOff>57150</xdr:rowOff>
                  </to>
                </anchor>
              </controlPr>
            </control>
          </mc:Choice>
        </mc:AlternateContent>
        <mc:AlternateContent xmlns:mc="http://schemas.openxmlformats.org/markup-compatibility/2006">
          <mc:Choice Requires="x14">
            <control shapeId="4107" r:id="rId6" name="Scroll Bar 11">
              <controlPr defaultSize="0" autoPict="0">
                <anchor moveWithCells="1">
                  <from>
                    <xdr:col>8</xdr:col>
                    <xdr:colOff>476250</xdr:colOff>
                    <xdr:row>8</xdr:row>
                    <xdr:rowOff>38100</xdr:rowOff>
                  </from>
                  <to>
                    <xdr:col>9</xdr:col>
                    <xdr:colOff>0</xdr:colOff>
                    <xdr:row>18</xdr:row>
                    <xdr:rowOff>104775</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U531"/>
  <sheetViews>
    <sheetView workbookViewId="0">
      <selection activeCell="F532" sqref="F532"/>
    </sheetView>
  </sheetViews>
  <sheetFormatPr defaultRowHeight="15" x14ac:dyDescent="0.25"/>
  <cols>
    <col min="1" max="1" width="10.7109375" bestFit="1" customWidth="1"/>
    <col min="2" max="2" width="14.140625" bestFit="1" customWidth="1"/>
    <col min="3" max="3" width="12.5703125" bestFit="1" customWidth="1"/>
    <col min="4" max="4" width="12.140625" bestFit="1" customWidth="1"/>
    <col min="5" max="5" width="18.28515625" bestFit="1" customWidth="1"/>
    <col min="6" max="6" width="14.5703125" bestFit="1" customWidth="1"/>
    <col min="7" max="7" width="15.140625" bestFit="1" customWidth="1"/>
    <col min="8" max="8" width="12.85546875" bestFit="1" customWidth="1"/>
    <col min="9" max="9" width="8" bestFit="1" customWidth="1"/>
    <col min="10" max="10" width="15.85546875" bestFit="1" customWidth="1"/>
    <col min="11" max="11" width="16" bestFit="1" customWidth="1"/>
    <col min="12" max="12" width="23" bestFit="1" customWidth="1"/>
    <col min="13" max="13" width="24.140625" bestFit="1" customWidth="1"/>
    <col min="14" max="14" width="7" bestFit="1" customWidth="1"/>
    <col min="15" max="15" width="10.28515625" bestFit="1" customWidth="1"/>
    <col min="16" max="16" width="7.85546875" bestFit="1" customWidth="1"/>
    <col min="17" max="17" width="16.42578125" bestFit="1" customWidth="1"/>
    <col min="18" max="18" width="14.140625" bestFit="1" customWidth="1"/>
    <col min="19" max="19" width="15.140625" bestFit="1" customWidth="1"/>
    <col min="20" max="20" width="16.140625" customWidth="1"/>
    <col min="21" max="21" width="18.140625" bestFit="1" customWidth="1"/>
    <col min="22" max="22" width="18.28515625" bestFit="1" customWidth="1"/>
  </cols>
  <sheetData>
    <row r="1" spans="1:21" ht="15.75" thickBot="1" x14ac:dyDescent="0.3">
      <c r="A1" s="2" t="s">
        <v>100</v>
      </c>
      <c r="B1" s="2" t="s">
        <v>0</v>
      </c>
      <c r="C1" s="2" t="s">
        <v>101</v>
      </c>
      <c r="D1" s="2" t="s">
        <v>102</v>
      </c>
      <c r="E1" s="2" t="s">
        <v>103</v>
      </c>
      <c r="F1" s="2" t="s">
        <v>104</v>
      </c>
      <c r="G1" s="2" t="s">
        <v>118</v>
      </c>
      <c r="H1" s="2" t="s">
        <v>2</v>
      </c>
      <c r="I1" s="2" t="s">
        <v>3</v>
      </c>
      <c r="J1" s="2" t="s">
        <v>4</v>
      </c>
      <c r="K1" s="2" t="s">
        <v>5</v>
      </c>
      <c r="L1" s="2" t="s">
        <v>113</v>
      </c>
      <c r="M1" s="2" t="s">
        <v>114</v>
      </c>
      <c r="N1" s="2" t="s">
        <v>115</v>
      </c>
      <c r="O1" s="2" t="s">
        <v>116</v>
      </c>
      <c r="P1" s="2" t="s">
        <v>117</v>
      </c>
    </row>
    <row r="2" spans="1:21" x14ac:dyDescent="0.25">
      <c r="A2" s="3">
        <v>44222</v>
      </c>
      <c r="B2" s="4" t="s">
        <v>6</v>
      </c>
      <c r="C2" s="5">
        <v>7</v>
      </c>
      <c r="D2" s="5" t="s">
        <v>106</v>
      </c>
      <c r="E2" s="5" t="s">
        <v>106</v>
      </c>
      <c r="F2" s="6">
        <v>0</v>
      </c>
      <c r="G2" s="7" t="str">
        <f>VLOOKUP(InputData[[#This Row],[PRODUCT ID]],MasterData[],2,0)</f>
        <v>Bread</v>
      </c>
      <c r="H2" s="7" t="str">
        <f>VLOOKUP(InputData[[#This Row],[PRODUCT ID]],MasterData[],3,0)</f>
        <v>Category01</v>
      </c>
      <c r="I2" s="7" t="str">
        <f>VLOOKUP(InputData[[#This Row],[PRODUCT ID]],MasterData[],4,0)</f>
        <v>Kg</v>
      </c>
      <c r="J2" s="7">
        <f>VLOOKUP(InputData[[#This Row],[PRODUCT ID]],MasterData[],5,0)</f>
        <v>98</v>
      </c>
      <c r="K2" s="8">
        <f>VLOOKUP(InputData[[#This Row],[PRODUCT ID]],MasterData[],6,0)</f>
        <v>103.88</v>
      </c>
      <c r="L2" s="8">
        <f>InputData[[#This Row],[BUYING PRIZE]]*InputData[[#This Row],[QUANTITY]]</f>
        <v>686</v>
      </c>
      <c r="M2" s="8">
        <f>InputData[[#This Row],[SELLING PRICE]]*InputData[[#This Row],[QUANTITY]]*(1-InputData[[#This Row],[DISCOUNT %]])</f>
        <v>727.16</v>
      </c>
      <c r="N2" s="7">
        <f>DAY(InputData[[#This Row],[DATE]])</f>
        <v>26</v>
      </c>
      <c r="O2" s="7" t="str">
        <f>TEXT(InputData[[#This Row],[DATE]],"MMM")</f>
        <v>Jan</v>
      </c>
      <c r="P2" s="7">
        <f>YEAR(InputData[[#This Row],[DATE]])</f>
        <v>2021</v>
      </c>
      <c r="R2" t="s">
        <v>187</v>
      </c>
      <c r="S2" t="s">
        <v>1</v>
      </c>
      <c r="T2" t="s">
        <v>142</v>
      </c>
      <c r="U2" t="s">
        <v>1</v>
      </c>
    </row>
    <row r="3" spans="1:21" x14ac:dyDescent="0.25">
      <c r="A3" s="3">
        <v>44281</v>
      </c>
      <c r="B3" s="4" t="s">
        <v>6</v>
      </c>
      <c r="C3" s="5">
        <v>4</v>
      </c>
      <c r="D3" s="5" t="s">
        <v>108</v>
      </c>
      <c r="E3" s="5" t="s">
        <v>107</v>
      </c>
      <c r="F3" s="6">
        <v>0</v>
      </c>
      <c r="G3" s="7" t="str">
        <f>VLOOKUP(InputData[[#This Row],[PRODUCT ID]],MasterData[],2,0)</f>
        <v>Bread</v>
      </c>
      <c r="H3" s="7" t="str">
        <f>VLOOKUP(InputData[[#This Row],[PRODUCT ID]],MasterData[],3,0)</f>
        <v>Category01</v>
      </c>
      <c r="I3" s="7" t="str">
        <f>VLOOKUP(InputData[[#This Row],[PRODUCT ID]],MasterData[],4,0)</f>
        <v>Kg</v>
      </c>
      <c r="J3" s="7">
        <f>VLOOKUP(InputData[[#This Row],[PRODUCT ID]],MasterData[],5,0)</f>
        <v>98</v>
      </c>
      <c r="K3" s="8">
        <f>VLOOKUP(InputData[[#This Row],[PRODUCT ID]],MasterData[],6,0)</f>
        <v>103.88</v>
      </c>
      <c r="L3" s="8">
        <f>InputData[[#This Row],[BUYING PRIZE]]*InputData[[#This Row],[QUANTITY]]</f>
        <v>392</v>
      </c>
      <c r="M3" s="8">
        <f>InputData[[#This Row],[SELLING PRICE]]*InputData[[#This Row],[QUANTITY]]*(1-InputData[[#This Row],[DISCOUNT %]])</f>
        <v>415.52</v>
      </c>
      <c r="N3" s="7">
        <f>DAY(InputData[[#This Row],[DATE]])</f>
        <v>26</v>
      </c>
      <c r="O3" s="7" t="str">
        <f>TEXT(InputData[[#This Row],[DATE]],"MMM")</f>
        <v>Mar</v>
      </c>
      <c r="P3" s="7">
        <f>YEAR(InputData[[#This Row],[DATE]])</f>
        <v>2021</v>
      </c>
      <c r="R3" t="s">
        <v>7</v>
      </c>
      <c r="S3" t="s">
        <v>7</v>
      </c>
      <c r="T3" t="s">
        <v>143</v>
      </c>
      <c r="U3" t="s">
        <v>143</v>
      </c>
    </row>
    <row r="4" spans="1:21" x14ac:dyDescent="0.25">
      <c r="A4" s="3">
        <v>44356</v>
      </c>
      <c r="B4" s="4" t="s">
        <v>6</v>
      </c>
      <c r="C4" s="5">
        <v>7</v>
      </c>
      <c r="D4" s="5" t="s">
        <v>108</v>
      </c>
      <c r="E4" s="5" t="s">
        <v>106</v>
      </c>
      <c r="F4" s="6">
        <v>0</v>
      </c>
      <c r="G4" s="7" t="str">
        <f>VLOOKUP(InputData[[#This Row],[PRODUCT ID]],MasterData[],2,0)</f>
        <v>Bread</v>
      </c>
      <c r="H4" s="7" t="str">
        <f>VLOOKUP(InputData[[#This Row],[PRODUCT ID]],MasterData[],3,0)</f>
        <v>Category01</v>
      </c>
      <c r="I4" s="7" t="str">
        <f>VLOOKUP(InputData[[#This Row],[PRODUCT ID]],MasterData[],4,0)</f>
        <v>Kg</v>
      </c>
      <c r="J4" s="7">
        <f>VLOOKUP(InputData[[#This Row],[PRODUCT ID]],MasterData[],5,0)</f>
        <v>98</v>
      </c>
      <c r="K4" s="8">
        <f>VLOOKUP(InputData[[#This Row],[PRODUCT ID]],MasterData[],6,0)</f>
        <v>103.88</v>
      </c>
      <c r="L4" s="8">
        <f>InputData[[#This Row],[BUYING PRIZE]]*InputData[[#This Row],[QUANTITY]]</f>
        <v>686</v>
      </c>
      <c r="M4" s="8">
        <f>InputData[[#This Row],[SELLING PRICE]]*InputData[[#This Row],[QUANTITY]]*(1-InputData[[#This Row],[DISCOUNT %]])</f>
        <v>727.16</v>
      </c>
      <c r="N4" s="7">
        <f>DAY(InputData[[#This Row],[DATE]])</f>
        <v>9</v>
      </c>
      <c r="O4" s="7" t="str">
        <f>TEXT(InputData[[#This Row],[DATE]],"MMM")</f>
        <v>Jun</v>
      </c>
      <c r="P4" s="7">
        <f>YEAR(InputData[[#This Row],[DATE]])</f>
        <v>2021</v>
      </c>
      <c r="R4" t="s">
        <v>11</v>
      </c>
      <c r="S4" t="s">
        <v>11</v>
      </c>
      <c r="T4" t="s">
        <v>144</v>
      </c>
      <c r="U4" t="str">
        <f t="shared" ref="U4:U46" si="0">VLOOKUP(R4,S4:T47,2,FALSE)</f>
        <v>Rice</v>
      </c>
    </row>
    <row r="5" spans="1:21" x14ac:dyDescent="0.25">
      <c r="A5" s="3">
        <v>44409</v>
      </c>
      <c r="B5" s="4" t="s">
        <v>6</v>
      </c>
      <c r="C5" s="5">
        <v>11</v>
      </c>
      <c r="D5" s="5" t="s">
        <v>108</v>
      </c>
      <c r="E5" s="5" t="s">
        <v>107</v>
      </c>
      <c r="F5" s="6">
        <v>0</v>
      </c>
      <c r="G5" s="7" t="str">
        <f>VLOOKUP(InputData[[#This Row],[PRODUCT ID]],MasterData[],2,0)</f>
        <v>Bread</v>
      </c>
      <c r="H5" s="7" t="str">
        <f>VLOOKUP(InputData[[#This Row],[PRODUCT ID]],MasterData[],3,0)</f>
        <v>Category01</v>
      </c>
      <c r="I5" s="7" t="str">
        <f>VLOOKUP(InputData[[#This Row],[PRODUCT ID]],MasterData[],4,0)</f>
        <v>Kg</v>
      </c>
      <c r="J5" s="7">
        <f>VLOOKUP(InputData[[#This Row],[PRODUCT ID]],MasterData[],5,0)</f>
        <v>98</v>
      </c>
      <c r="K5" s="8">
        <f>VLOOKUP(InputData[[#This Row],[PRODUCT ID]],MasterData[],6,0)</f>
        <v>103.88</v>
      </c>
      <c r="L5" s="8">
        <f>InputData[[#This Row],[BUYING PRIZE]]*InputData[[#This Row],[QUANTITY]]</f>
        <v>1078</v>
      </c>
      <c r="M5" s="8">
        <f>InputData[[#This Row],[SELLING PRICE]]*InputData[[#This Row],[QUANTITY]]*(1-InputData[[#This Row],[DISCOUNT %]])</f>
        <v>1142.6799999999998</v>
      </c>
      <c r="N5" s="7">
        <f>DAY(InputData[[#This Row],[DATE]])</f>
        <v>1</v>
      </c>
      <c r="O5" s="7" t="str">
        <f>TEXT(InputData[[#This Row],[DATE]],"MMM")</f>
        <v>Aug</v>
      </c>
      <c r="P5" s="7">
        <f>YEAR(InputData[[#This Row],[DATE]])</f>
        <v>2021</v>
      </c>
      <c r="R5" t="s">
        <v>13</v>
      </c>
      <c r="S5" t="s">
        <v>13</v>
      </c>
      <c r="T5" t="s">
        <v>145</v>
      </c>
      <c r="U5" t="str">
        <f t="shared" si="0"/>
        <v>Wheat Flour</v>
      </c>
    </row>
    <row r="6" spans="1:21" x14ac:dyDescent="0.25">
      <c r="A6" s="3">
        <v>44439</v>
      </c>
      <c r="B6" s="4" t="s">
        <v>6</v>
      </c>
      <c r="C6" s="5">
        <v>2</v>
      </c>
      <c r="D6" s="5" t="s">
        <v>108</v>
      </c>
      <c r="E6" s="5" t="s">
        <v>106</v>
      </c>
      <c r="F6" s="6">
        <v>0</v>
      </c>
      <c r="G6" s="7" t="str">
        <f>VLOOKUP(InputData[[#This Row],[PRODUCT ID]],MasterData[],2,0)</f>
        <v>Bread</v>
      </c>
      <c r="H6" s="7" t="str">
        <f>VLOOKUP(InputData[[#This Row],[PRODUCT ID]],MasterData[],3,0)</f>
        <v>Category01</v>
      </c>
      <c r="I6" s="7" t="str">
        <f>VLOOKUP(InputData[[#This Row],[PRODUCT ID]],MasterData[],4,0)</f>
        <v>Kg</v>
      </c>
      <c r="J6" s="7">
        <f>VLOOKUP(InputData[[#This Row],[PRODUCT ID]],MasterData[],5,0)</f>
        <v>98</v>
      </c>
      <c r="K6" s="8">
        <f>VLOOKUP(InputData[[#This Row],[PRODUCT ID]],MasterData[],6,0)</f>
        <v>103.88</v>
      </c>
      <c r="L6" s="8">
        <f>InputData[[#This Row],[BUYING PRIZE]]*InputData[[#This Row],[QUANTITY]]</f>
        <v>196</v>
      </c>
      <c r="M6" s="8">
        <f>InputData[[#This Row],[SELLING PRICE]]*InputData[[#This Row],[QUANTITY]]*(1-InputData[[#This Row],[DISCOUNT %]])</f>
        <v>207.76</v>
      </c>
      <c r="N6" s="7">
        <f>DAY(InputData[[#This Row],[DATE]])</f>
        <v>31</v>
      </c>
      <c r="O6" s="7" t="str">
        <f>TEXT(InputData[[#This Row],[DATE]],"MMM")</f>
        <v>Aug</v>
      </c>
      <c r="P6" s="7">
        <f>YEAR(InputData[[#This Row],[DATE]])</f>
        <v>2021</v>
      </c>
      <c r="R6" t="s">
        <v>15</v>
      </c>
      <c r="S6" t="s">
        <v>15</v>
      </c>
      <c r="T6" t="s">
        <v>146</v>
      </c>
      <c r="U6" t="str">
        <f t="shared" si="0"/>
        <v>Sunflower Oil</v>
      </c>
    </row>
    <row r="7" spans="1:21" x14ac:dyDescent="0.25">
      <c r="A7" s="3">
        <v>44449</v>
      </c>
      <c r="B7" s="4" t="s">
        <v>6</v>
      </c>
      <c r="C7" s="5">
        <v>9</v>
      </c>
      <c r="D7" s="5" t="s">
        <v>105</v>
      </c>
      <c r="E7" s="5" t="s">
        <v>106</v>
      </c>
      <c r="F7" s="6">
        <v>0</v>
      </c>
      <c r="G7" s="7" t="str">
        <f>VLOOKUP(InputData[[#This Row],[PRODUCT ID]],MasterData[],2,0)</f>
        <v>Bread</v>
      </c>
      <c r="H7" s="7" t="str">
        <f>VLOOKUP(InputData[[#This Row],[PRODUCT ID]],MasterData[],3,0)</f>
        <v>Category01</v>
      </c>
      <c r="I7" s="7" t="str">
        <f>VLOOKUP(InputData[[#This Row],[PRODUCT ID]],MasterData[],4,0)</f>
        <v>Kg</v>
      </c>
      <c r="J7" s="7">
        <f>VLOOKUP(InputData[[#This Row],[PRODUCT ID]],MasterData[],5,0)</f>
        <v>98</v>
      </c>
      <c r="K7" s="8">
        <f>VLOOKUP(InputData[[#This Row],[PRODUCT ID]],MasterData[],6,0)</f>
        <v>103.88</v>
      </c>
      <c r="L7" s="8">
        <f>InputData[[#This Row],[BUYING PRIZE]]*InputData[[#This Row],[QUANTITY]]</f>
        <v>882</v>
      </c>
      <c r="M7" s="8">
        <f>InputData[[#This Row],[SELLING PRICE]]*InputData[[#This Row],[QUANTITY]]*(1-InputData[[#This Row],[DISCOUNT %]])</f>
        <v>934.92</v>
      </c>
      <c r="N7" s="7">
        <f>DAY(InputData[[#This Row],[DATE]])</f>
        <v>10</v>
      </c>
      <c r="O7" s="7" t="str">
        <f>TEXT(InputData[[#This Row],[DATE]],"MMM")</f>
        <v>Sep</v>
      </c>
      <c r="P7" s="7">
        <f>YEAR(InputData[[#This Row],[DATE]])</f>
        <v>2021</v>
      </c>
      <c r="R7" t="s">
        <v>17</v>
      </c>
      <c r="S7" t="s">
        <v>17</v>
      </c>
      <c r="T7" t="s">
        <v>147</v>
      </c>
      <c r="U7" t="str">
        <f t="shared" si="0"/>
        <v>Onion</v>
      </c>
    </row>
    <row r="8" spans="1:21" x14ac:dyDescent="0.25">
      <c r="A8" s="3">
        <v>44450</v>
      </c>
      <c r="B8" s="4" t="s">
        <v>6</v>
      </c>
      <c r="C8" s="5">
        <v>6</v>
      </c>
      <c r="D8" s="5" t="s">
        <v>105</v>
      </c>
      <c r="E8" s="5" t="s">
        <v>106</v>
      </c>
      <c r="F8" s="6">
        <v>0</v>
      </c>
      <c r="G8" s="7" t="str">
        <f>VLOOKUP(InputData[[#This Row],[PRODUCT ID]],MasterData[],2,0)</f>
        <v>Bread</v>
      </c>
      <c r="H8" s="7" t="str">
        <f>VLOOKUP(InputData[[#This Row],[PRODUCT ID]],MasterData[],3,0)</f>
        <v>Category01</v>
      </c>
      <c r="I8" s="7" t="str">
        <f>VLOOKUP(InputData[[#This Row],[PRODUCT ID]],MasterData[],4,0)</f>
        <v>Kg</v>
      </c>
      <c r="J8" s="7">
        <f>VLOOKUP(InputData[[#This Row],[PRODUCT ID]],MasterData[],5,0)</f>
        <v>98</v>
      </c>
      <c r="K8" s="8">
        <f>VLOOKUP(InputData[[#This Row],[PRODUCT ID]],MasterData[],6,0)</f>
        <v>103.88</v>
      </c>
      <c r="L8" s="8">
        <f>InputData[[#This Row],[BUYING PRIZE]]*InputData[[#This Row],[QUANTITY]]</f>
        <v>588</v>
      </c>
      <c r="M8" s="8">
        <f>InputData[[#This Row],[SELLING PRICE]]*InputData[[#This Row],[QUANTITY]]*(1-InputData[[#This Row],[DISCOUNT %]])</f>
        <v>623.28</v>
      </c>
      <c r="N8" s="7">
        <f>DAY(InputData[[#This Row],[DATE]])</f>
        <v>11</v>
      </c>
      <c r="O8" s="7" t="str">
        <f>TEXT(InputData[[#This Row],[DATE]],"MMM")</f>
        <v>Sep</v>
      </c>
      <c r="P8" s="7">
        <f>YEAR(InputData[[#This Row],[DATE]])</f>
        <v>2021</v>
      </c>
      <c r="R8" t="s">
        <v>19</v>
      </c>
      <c r="S8" t="s">
        <v>19</v>
      </c>
      <c r="T8" t="s">
        <v>148</v>
      </c>
      <c r="U8" t="str">
        <f t="shared" si="0"/>
        <v>Tomato</v>
      </c>
    </row>
    <row r="9" spans="1:21" x14ac:dyDescent="0.25">
      <c r="A9" s="3">
        <v>44486</v>
      </c>
      <c r="B9" s="4" t="s">
        <v>6</v>
      </c>
      <c r="C9" s="5">
        <v>13</v>
      </c>
      <c r="D9" s="5" t="s">
        <v>108</v>
      </c>
      <c r="E9" s="5" t="s">
        <v>106</v>
      </c>
      <c r="F9" s="6">
        <v>0</v>
      </c>
      <c r="G9" s="7" t="str">
        <f>VLOOKUP(InputData[[#This Row],[PRODUCT ID]],MasterData[],2,0)</f>
        <v>Bread</v>
      </c>
      <c r="H9" s="7" t="str">
        <f>VLOOKUP(InputData[[#This Row],[PRODUCT ID]],MasterData[],3,0)</f>
        <v>Category01</v>
      </c>
      <c r="I9" s="7" t="str">
        <f>VLOOKUP(InputData[[#This Row],[PRODUCT ID]],MasterData[],4,0)</f>
        <v>Kg</v>
      </c>
      <c r="J9" s="7">
        <f>VLOOKUP(InputData[[#This Row],[PRODUCT ID]],MasterData[],5,0)</f>
        <v>98</v>
      </c>
      <c r="K9" s="8">
        <f>VLOOKUP(InputData[[#This Row],[PRODUCT ID]],MasterData[],6,0)</f>
        <v>103.88</v>
      </c>
      <c r="L9" s="8">
        <f>InputData[[#This Row],[BUYING PRIZE]]*InputData[[#This Row],[QUANTITY]]</f>
        <v>1274</v>
      </c>
      <c r="M9" s="8">
        <f>InputData[[#This Row],[SELLING PRICE]]*InputData[[#This Row],[QUANTITY]]*(1-InputData[[#This Row],[DISCOUNT %]])</f>
        <v>1350.44</v>
      </c>
      <c r="N9" s="7">
        <f>DAY(InputData[[#This Row],[DATE]])</f>
        <v>17</v>
      </c>
      <c r="O9" s="7" t="str">
        <f>TEXT(InputData[[#This Row],[DATE]],"MMM")</f>
        <v>Oct</v>
      </c>
      <c r="P9" s="7">
        <f>YEAR(InputData[[#This Row],[DATE]])</f>
        <v>2021</v>
      </c>
      <c r="R9" t="s">
        <v>21</v>
      </c>
      <c r="S9" t="s">
        <v>21</v>
      </c>
      <c r="T9" t="s">
        <v>149</v>
      </c>
      <c r="U9" t="str">
        <f t="shared" si="0"/>
        <v>Palm Oil</v>
      </c>
    </row>
    <row r="10" spans="1:21" x14ac:dyDescent="0.25">
      <c r="A10" s="3">
        <v>44583</v>
      </c>
      <c r="B10" s="4" t="s">
        <v>6</v>
      </c>
      <c r="C10" s="5">
        <v>6</v>
      </c>
      <c r="D10" s="5" t="s">
        <v>106</v>
      </c>
      <c r="E10" s="5" t="s">
        <v>107</v>
      </c>
      <c r="F10" s="6">
        <v>0</v>
      </c>
      <c r="G10" s="7" t="str">
        <f>VLOOKUP(InputData[[#This Row],[PRODUCT ID]],MasterData[],2,0)</f>
        <v>Bread</v>
      </c>
      <c r="H10" s="7" t="str">
        <f>VLOOKUP(InputData[[#This Row],[PRODUCT ID]],MasterData[],3,0)</f>
        <v>Category01</v>
      </c>
      <c r="I10" s="7" t="str">
        <f>VLOOKUP(InputData[[#This Row],[PRODUCT ID]],MasterData[],4,0)</f>
        <v>Kg</v>
      </c>
      <c r="J10" s="7">
        <f>VLOOKUP(InputData[[#This Row],[PRODUCT ID]],MasterData[],5,0)</f>
        <v>98</v>
      </c>
      <c r="K10" s="8">
        <f>VLOOKUP(InputData[[#This Row],[PRODUCT ID]],MasterData[],6,0)</f>
        <v>103.88</v>
      </c>
      <c r="L10" s="8">
        <f>InputData[[#This Row],[BUYING PRIZE]]*InputData[[#This Row],[QUANTITY]]</f>
        <v>588</v>
      </c>
      <c r="M10" s="8">
        <f>InputData[[#This Row],[SELLING PRICE]]*InputData[[#This Row],[QUANTITY]]*(1-InputData[[#This Row],[DISCOUNT %]])</f>
        <v>623.28</v>
      </c>
      <c r="N10" s="7">
        <f>DAY(InputData[[#This Row],[DATE]])</f>
        <v>22</v>
      </c>
      <c r="O10" s="7" t="str">
        <f>TEXT(InputData[[#This Row],[DATE]],"MMM")</f>
        <v>Jan</v>
      </c>
      <c r="P10" s="7">
        <f>YEAR(InputData[[#This Row],[DATE]])</f>
        <v>2022</v>
      </c>
      <c r="R10" t="s">
        <v>23</v>
      </c>
      <c r="S10" t="s">
        <v>23</v>
      </c>
      <c r="T10" t="s">
        <v>150</v>
      </c>
      <c r="U10" t="str">
        <f t="shared" si="0"/>
        <v>Potato</v>
      </c>
    </row>
    <row r="11" spans="1:21" x14ac:dyDescent="0.25">
      <c r="A11" s="3">
        <v>44645</v>
      </c>
      <c r="B11" s="4" t="s">
        <v>6</v>
      </c>
      <c r="C11" s="5">
        <v>2</v>
      </c>
      <c r="D11" s="5" t="s">
        <v>105</v>
      </c>
      <c r="E11" s="5" t="s">
        <v>106</v>
      </c>
      <c r="F11" s="6">
        <v>0</v>
      </c>
      <c r="G11" s="7" t="str">
        <f>VLOOKUP(InputData[[#This Row],[PRODUCT ID]],MasterData[],2,0)</f>
        <v>Bread</v>
      </c>
      <c r="H11" s="7" t="str">
        <f>VLOOKUP(InputData[[#This Row],[PRODUCT ID]],MasterData[],3,0)</f>
        <v>Category01</v>
      </c>
      <c r="I11" s="7" t="str">
        <f>VLOOKUP(InputData[[#This Row],[PRODUCT ID]],MasterData[],4,0)</f>
        <v>Kg</v>
      </c>
      <c r="J11" s="7">
        <f>VLOOKUP(InputData[[#This Row],[PRODUCT ID]],MasterData[],5,0)</f>
        <v>98</v>
      </c>
      <c r="K11" s="8">
        <f>VLOOKUP(InputData[[#This Row],[PRODUCT ID]],MasterData[],6,0)</f>
        <v>103.88</v>
      </c>
      <c r="L11" s="8">
        <f>InputData[[#This Row],[BUYING PRIZE]]*InputData[[#This Row],[QUANTITY]]</f>
        <v>196</v>
      </c>
      <c r="M11" s="8">
        <f>InputData[[#This Row],[SELLING PRICE]]*InputData[[#This Row],[QUANTITY]]*(1-InputData[[#This Row],[DISCOUNT %]])</f>
        <v>207.76</v>
      </c>
      <c r="N11" s="7">
        <f>DAY(InputData[[#This Row],[DATE]])</f>
        <v>25</v>
      </c>
      <c r="O11" s="7" t="str">
        <f>TEXT(InputData[[#This Row],[DATE]],"MMM")</f>
        <v>Mar</v>
      </c>
      <c r="P11" s="7">
        <f>YEAR(InputData[[#This Row],[DATE]])</f>
        <v>2022</v>
      </c>
      <c r="R11" t="s">
        <v>25</v>
      </c>
      <c r="S11" t="s">
        <v>25</v>
      </c>
      <c r="T11" t="s">
        <v>151</v>
      </c>
      <c r="U11" t="str">
        <f t="shared" si="0"/>
        <v>Noodles</v>
      </c>
    </row>
    <row r="12" spans="1:21" x14ac:dyDescent="0.25">
      <c r="A12" s="3">
        <v>44650</v>
      </c>
      <c r="B12" s="4" t="s">
        <v>6</v>
      </c>
      <c r="C12" s="5">
        <v>13</v>
      </c>
      <c r="D12" s="5" t="s">
        <v>106</v>
      </c>
      <c r="E12" s="5" t="s">
        <v>107</v>
      </c>
      <c r="F12" s="6">
        <v>0</v>
      </c>
      <c r="G12" s="7" t="str">
        <f>VLOOKUP(InputData[[#This Row],[PRODUCT ID]],MasterData[],2,0)</f>
        <v>Bread</v>
      </c>
      <c r="H12" s="7" t="str">
        <f>VLOOKUP(InputData[[#This Row],[PRODUCT ID]],MasterData[],3,0)</f>
        <v>Category01</v>
      </c>
      <c r="I12" s="7" t="str">
        <f>VLOOKUP(InputData[[#This Row],[PRODUCT ID]],MasterData[],4,0)</f>
        <v>Kg</v>
      </c>
      <c r="J12" s="7">
        <f>VLOOKUP(InputData[[#This Row],[PRODUCT ID]],MasterData[],5,0)</f>
        <v>98</v>
      </c>
      <c r="K12" s="8">
        <f>VLOOKUP(InputData[[#This Row],[PRODUCT ID]],MasterData[],6,0)</f>
        <v>103.88</v>
      </c>
      <c r="L12" s="8">
        <f>InputData[[#This Row],[BUYING PRIZE]]*InputData[[#This Row],[QUANTITY]]</f>
        <v>1274</v>
      </c>
      <c r="M12" s="8">
        <f>InputData[[#This Row],[SELLING PRICE]]*InputData[[#This Row],[QUANTITY]]*(1-InputData[[#This Row],[DISCOUNT %]])</f>
        <v>1350.44</v>
      </c>
      <c r="N12" s="7">
        <f>DAY(InputData[[#This Row],[DATE]])</f>
        <v>30</v>
      </c>
      <c r="O12" s="7" t="str">
        <f>TEXT(InputData[[#This Row],[DATE]],"MMM")</f>
        <v>Mar</v>
      </c>
      <c r="P12" s="7">
        <f>YEAR(InputData[[#This Row],[DATE]])</f>
        <v>2022</v>
      </c>
      <c r="R12" t="s">
        <v>27</v>
      </c>
      <c r="S12" t="s">
        <v>27</v>
      </c>
      <c r="T12" t="s">
        <v>152</v>
      </c>
      <c r="U12" t="str">
        <f t="shared" si="0"/>
        <v>Cheese</v>
      </c>
    </row>
    <row r="13" spans="1:21" x14ac:dyDescent="0.25">
      <c r="A13" s="3">
        <v>44734</v>
      </c>
      <c r="B13" s="4" t="s">
        <v>6</v>
      </c>
      <c r="C13" s="5">
        <v>4</v>
      </c>
      <c r="D13" s="5" t="s">
        <v>108</v>
      </c>
      <c r="E13" s="5" t="s">
        <v>107</v>
      </c>
      <c r="F13" s="6">
        <v>0</v>
      </c>
      <c r="G13" s="7" t="str">
        <f>VLOOKUP(InputData[[#This Row],[PRODUCT ID]],MasterData[],2,0)</f>
        <v>Bread</v>
      </c>
      <c r="H13" s="7" t="str">
        <f>VLOOKUP(InputData[[#This Row],[PRODUCT ID]],MasterData[],3,0)</f>
        <v>Category01</v>
      </c>
      <c r="I13" s="7" t="str">
        <f>VLOOKUP(InputData[[#This Row],[PRODUCT ID]],MasterData[],4,0)</f>
        <v>Kg</v>
      </c>
      <c r="J13" s="7">
        <f>VLOOKUP(InputData[[#This Row],[PRODUCT ID]],MasterData[],5,0)</f>
        <v>98</v>
      </c>
      <c r="K13" s="8">
        <f>VLOOKUP(InputData[[#This Row],[PRODUCT ID]],MasterData[],6,0)</f>
        <v>103.88</v>
      </c>
      <c r="L13" s="8">
        <f>InputData[[#This Row],[BUYING PRIZE]]*InputData[[#This Row],[QUANTITY]]</f>
        <v>392</v>
      </c>
      <c r="M13" s="8">
        <f>InputData[[#This Row],[SELLING PRICE]]*InputData[[#This Row],[QUANTITY]]*(1-InputData[[#This Row],[DISCOUNT %]])</f>
        <v>415.52</v>
      </c>
      <c r="N13" s="7">
        <f>DAY(InputData[[#This Row],[DATE]])</f>
        <v>22</v>
      </c>
      <c r="O13" s="7" t="str">
        <f>TEXT(InputData[[#This Row],[DATE]],"MMM")</f>
        <v>Jun</v>
      </c>
      <c r="P13" s="7">
        <f>YEAR(InputData[[#This Row],[DATE]])</f>
        <v>2022</v>
      </c>
      <c r="R13" t="s">
        <v>30</v>
      </c>
      <c r="S13" t="s">
        <v>30</v>
      </c>
      <c r="T13" t="s">
        <v>153</v>
      </c>
      <c r="U13" t="str">
        <f t="shared" si="0"/>
        <v>Olive Oil</v>
      </c>
    </row>
    <row r="14" spans="1:21" x14ac:dyDescent="0.25">
      <c r="A14" s="3">
        <v>44824</v>
      </c>
      <c r="B14" s="4" t="s">
        <v>6</v>
      </c>
      <c r="C14" s="5">
        <v>10</v>
      </c>
      <c r="D14" s="5" t="s">
        <v>108</v>
      </c>
      <c r="E14" s="5" t="s">
        <v>106</v>
      </c>
      <c r="F14" s="6">
        <v>0</v>
      </c>
      <c r="G14" s="7" t="str">
        <f>VLOOKUP(InputData[[#This Row],[PRODUCT ID]],MasterData[],2,0)</f>
        <v>Bread</v>
      </c>
      <c r="H14" s="7" t="str">
        <f>VLOOKUP(InputData[[#This Row],[PRODUCT ID]],MasterData[],3,0)</f>
        <v>Category01</v>
      </c>
      <c r="I14" s="7" t="str">
        <f>VLOOKUP(InputData[[#This Row],[PRODUCT ID]],MasterData[],4,0)</f>
        <v>Kg</v>
      </c>
      <c r="J14" s="7">
        <f>VLOOKUP(InputData[[#This Row],[PRODUCT ID]],MasterData[],5,0)</f>
        <v>98</v>
      </c>
      <c r="K14" s="8">
        <f>VLOOKUP(InputData[[#This Row],[PRODUCT ID]],MasterData[],6,0)</f>
        <v>103.88</v>
      </c>
      <c r="L14" s="8">
        <f>InputData[[#This Row],[BUYING PRIZE]]*InputData[[#This Row],[QUANTITY]]</f>
        <v>980</v>
      </c>
      <c r="M14" s="8">
        <f>InputData[[#This Row],[SELLING PRICE]]*InputData[[#This Row],[QUANTITY]]*(1-InputData[[#This Row],[DISCOUNT %]])</f>
        <v>1038.8</v>
      </c>
      <c r="N14" s="7">
        <f>DAY(InputData[[#This Row],[DATE]])</f>
        <v>20</v>
      </c>
      <c r="O14" s="7" t="str">
        <f>TEXT(InputData[[#This Row],[DATE]],"MMM")</f>
        <v>Sep</v>
      </c>
      <c r="P14" s="7">
        <f>YEAR(InputData[[#This Row],[DATE]])</f>
        <v>2022</v>
      </c>
      <c r="R14" t="s">
        <v>32</v>
      </c>
      <c r="S14" t="s">
        <v>32</v>
      </c>
      <c r="T14" t="s">
        <v>154</v>
      </c>
      <c r="U14" t="str">
        <f t="shared" si="0"/>
        <v>Green chilly</v>
      </c>
    </row>
    <row r="15" spans="1:21" x14ac:dyDescent="0.25">
      <c r="A15" s="3">
        <v>44252</v>
      </c>
      <c r="B15" s="4" t="s">
        <v>10</v>
      </c>
      <c r="C15" s="5">
        <v>4</v>
      </c>
      <c r="D15" s="5" t="s">
        <v>105</v>
      </c>
      <c r="E15" s="5" t="s">
        <v>106</v>
      </c>
      <c r="F15" s="6">
        <v>0</v>
      </c>
      <c r="G15" s="7" t="str">
        <f>VLOOKUP(InputData[[#This Row],[PRODUCT ID]],MasterData[],2,0)</f>
        <v>Rice</v>
      </c>
      <c r="H15" s="7" t="str">
        <f>VLOOKUP(InputData[[#This Row],[PRODUCT ID]],MasterData[],3,0)</f>
        <v>Category01</v>
      </c>
      <c r="I15" s="7" t="str">
        <f>VLOOKUP(InputData[[#This Row],[PRODUCT ID]],MasterData[],4,0)</f>
        <v>Kg</v>
      </c>
      <c r="J15" s="7">
        <f>VLOOKUP(InputData[[#This Row],[PRODUCT ID]],MasterData[],5,0)</f>
        <v>105</v>
      </c>
      <c r="K15" s="8">
        <f>VLOOKUP(InputData[[#This Row],[PRODUCT ID]],MasterData[],6,0)</f>
        <v>142.80000000000001</v>
      </c>
      <c r="L15" s="8">
        <f>InputData[[#This Row],[BUYING PRIZE]]*InputData[[#This Row],[QUANTITY]]</f>
        <v>420</v>
      </c>
      <c r="M15" s="8">
        <f>InputData[[#This Row],[SELLING PRICE]]*InputData[[#This Row],[QUANTITY]]*(1-InputData[[#This Row],[DISCOUNT %]])</f>
        <v>571.20000000000005</v>
      </c>
      <c r="N15" s="7">
        <f>DAY(InputData[[#This Row],[DATE]])</f>
        <v>25</v>
      </c>
      <c r="O15" s="7" t="str">
        <f>TEXT(InputData[[#This Row],[DATE]],"MMM")</f>
        <v>Feb</v>
      </c>
      <c r="P15" s="7">
        <f>YEAR(InputData[[#This Row],[DATE]])</f>
        <v>2021</v>
      </c>
      <c r="R15" t="s">
        <v>34</v>
      </c>
      <c r="S15" t="s">
        <v>34</v>
      </c>
      <c r="T15" t="s">
        <v>155</v>
      </c>
      <c r="U15" t="str">
        <f t="shared" si="0"/>
        <v>Red chilly</v>
      </c>
    </row>
    <row r="16" spans="1:21" x14ac:dyDescent="0.25">
      <c r="A16" s="3">
        <v>44277</v>
      </c>
      <c r="B16" s="4" t="s">
        <v>10</v>
      </c>
      <c r="C16" s="5">
        <v>8</v>
      </c>
      <c r="D16" s="5" t="s">
        <v>106</v>
      </c>
      <c r="E16" s="5" t="s">
        <v>106</v>
      </c>
      <c r="F16" s="6">
        <v>0</v>
      </c>
      <c r="G16" s="7" t="str">
        <f>VLOOKUP(InputData[[#This Row],[PRODUCT ID]],MasterData[],2,0)</f>
        <v>Rice</v>
      </c>
      <c r="H16" s="7" t="str">
        <f>VLOOKUP(InputData[[#This Row],[PRODUCT ID]],MasterData[],3,0)</f>
        <v>Category01</v>
      </c>
      <c r="I16" s="7" t="str">
        <f>VLOOKUP(InputData[[#This Row],[PRODUCT ID]],MasterData[],4,0)</f>
        <v>Kg</v>
      </c>
      <c r="J16" s="7">
        <f>VLOOKUP(InputData[[#This Row],[PRODUCT ID]],MasterData[],5,0)</f>
        <v>105</v>
      </c>
      <c r="K16" s="8">
        <f>VLOOKUP(InputData[[#This Row],[PRODUCT ID]],MasterData[],6,0)</f>
        <v>142.80000000000001</v>
      </c>
      <c r="L16" s="8">
        <f>InputData[[#This Row],[BUYING PRIZE]]*InputData[[#This Row],[QUANTITY]]</f>
        <v>840</v>
      </c>
      <c r="M16" s="8">
        <f>InputData[[#This Row],[SELLING PRICE]]*InputData[[#This Row],[QUANTITY]]*(1-InputData[[#This Row],[DISCOUNT %]])</f>
        <v>1142.4000000000001</v>
      </c>
      <c r="N16" s="7">
        <f>DAY(InputData[[#This Row],[DATE]])</f>
        <v>22</v>
      </c>
      <c r="O16" s="7" t="str">
        <f>TEXT(InputData[[#This Row],[DATE]],"MMM")</f>
        <v>Mar</v>
      </c>
      <c r="P16" s="7">
        <f>YEAR(InputData[[#This Row],[DATE]])</f>
        <v>2021</v>
      </c>
      <c r="R16" t="s">
        <v>36</v>
      </c>
      <c r="S16" t="s">
        <v>36</v>
      </c>
      <c r="T16" t="s">
        <v>156</v>
      </c>
      <c r="U16" t="str">
        <f t="shared" si="0"/>
        <v>Brocoli</v>
      </c>
    </row>
    <row r="17" spans="1:21" x14ac:dyDescent="0.25">
      <c r="A17" s="3">
        <v>44382</v>
      </c>
      <c r="B17" s="4" t="s">
        <v>10</v>
      </c>
      <c r="C17" s="5">
        <v>8</v>
      </c>
      <c r="D17" s="5" t="s">
        <v>108</v>
      </c>
      <c r="E17" s="5" t="s">
        <v>106</v>
      </c>
      <c r="F17" s="6">
        <v>0</v>
      </c>
      <c r="G17" s="7" t="str">
        <f>VLOOKUP(InputData[[#This Row],[PRODUCT ID]],MasterData[],2,0)</f>
        <v>Rice</v>
      </c>
      <c r="H17" s="7" t="str">
        <f>VLOOKUP(InputData[[#This Row],[PRODUCT ID]],MasterData[],3,0)</f>
        <v>Category01</v>
      </c>
      <c r="I17" s="7" t="str">
        <f>VLOOKUP(InputData[[#This Row],[PRODUCT ID]],MasterData[],4,0)</f>
        <v>Kg</v>
      </c>
      <c r="J17" s="7">
        <f>VLOOKUP(InputData[[#This Row],[PRODUCT ID]],MasterData[],5,0)</f>
        <v>105</v>
      </c>
      <c r="K17" s="8">
        <f>VLOOKUP(InputData[[#This Row],[PRODUCT ID]],MasterData[],6,0)</f>
        <v>142.80000000000001</v>
      </c>
      <c r="L17" s="8">
        <f>InputData[[#This Row],[BUYING PRIZE]]*InputData[[#This Row],[QUANTITY]]</f>
        <v>840</v>
      </c>
      <c r="M17" s="8">
        <f>InputData[[#This Row],[SELLING PRICE]]*InputData[[#This Row],[QUANTITY]]*(1-InputData[[#This Row],[DISCOUNT %]])</f>
        <v>1142.4000000000001</v>
      </c>
      <c r="N17" s="7">
        <f>DAY(InputData[[#This Row],[DATE]])</f>
        <v>5</v>
      </c>
      <c r="O17" s="7" t="str">
        <f>TEXT(InputData[[#This Row],[DATE]],"MMM")</f>
        <v>Jul</v>
      </c>
      <c r="P17" s="7">
        <f>YEAR(InputData[[#This Row],[DATE]])</f>
        <v>2021</v>
      </c>
      <c r="R17" t="s">
        <v>38</v>
      </c>
      <c r="S17" t="s">
        <v>38</v>
      </c>
      <c r="T17" t="s">
        <v>157</v>
      </c>
      <c r="U17" t="str">
        <f t="shared" si="0"/>
        <v>Butter</v>
      </c>
    </row>
    <row r="18" spans="1:21" x14ac:dyDescent="0.25">
      <c r="A18" s="3">
        <v>44461</v>
      </c>
      <c r="B18" s="4" t="s">
        <v>10</v>
      </c>
      <c r="C18" s="5">
        <v>4</v>
      </c>
      <c r="D18" s="5" t="s">
        <v>108</v>
      </c>
      <c r="E18" s="5" t="s">
        <v>107</v>
      </c>
      <c r="F18" s="6">
        <v>0</v>
      </c>
      <c r="G18" s="7" t="str">
        <f>VLOOKUP(InputData[[#This Row],[PRODUCT ID]],MasterData[],2,0)</f>
        <v>Rice</v>
      </c>
      <c r="H18" s="7" t="str">
        <f>VLOOKUP(InputData[[#This Row],[PRODUCT ID]],MasterData[],3,0)</f>
        <v>Category01</v>
      </c>
      <c r="I18" s="7" t="str">
        <f>VLOOKUP(InputData[[#This Row],[PRODUCT ID]],MasterData[],4,0)</f>
        <v>Kg</v>
      </c>
      <c r="J18" s="7">
        <f>VLOOKUP(InputData[[#This Row],[PRODUCT ID]],MasterData[],5,0)</f>
        <v>105</v>
      </c>
      <c r="K18" s="8">
        <f>VLOOKUP(InputData[[#This Row],[PRODUCT ID]],MasterData[],6,0)</f>
        <v>142.80000000000001</v>
      </c>
      <c r="L18" s="8">
        <f>InputData[[#This Row],[BUYING PRIZE]]*InputData[[#This Row],[QUANTITY]]</f>
        <v>420</v>
      </c>
      <c r="M18" s="8">
        <f>InputData[[#This Row],[SELLING PRICE]]*InputData[[#This Row],[QUANTITY]]*(1-InputData[[#This Row],[DISCOUNT %]])</f>
        <v>571.20000000000005</v>
      </c>
      <c r="N18" s="7">
        <f>DAY(InputData[[#This Row],[DATE]])</f>
        <v>22</v>
      </c>
      <c r="O18" s="7" t="str">
        <f>TEXT(InputData[[#This Row],[DATE]],"MMM")</f>
        <v>Sep</v>
      </c>
      <c r="P18" s="7">
        <f>YEAR(InputData[[#This Row],[DATE]])</f>
        <v>2021</v>
      </c>
      <c r="R18" t="s">
        <v>40</v>
      </c>
      <c r="S18" t="s">
        <v>40</v>
      </c>
      <c r="T18" t="s">
        <v>158</v>
      </c>
      <c r="U18" t="str">
        <f t="shared" si="0"/>
        <v>Bread</v>
      </c>
    </row>
    <row r="19" spans="1:21" x14ac:dyDescent="0.25">
      <c r="A19" s="3">
        <v>44584</v>
      </c>
      <c r="B19" s="4" t="s">
        <v>10</v>
      </c>
      <c r="C19" s="5">
        <v>5</v>
      </c>
      <c r="D19" s="5" t="s">
        <v>105</v>
      </c>
      <c r="E19" s="5" t="s">
        <v>107</v>
      </c>
      <c r="F19" s="6">
        <v>0</v>
      </c>
      <c r="G19" s="7" t="str">
        <f>VLOOKUP(InputData[[#This Row],[PRODUCT ID]],MasterData[],2,0)</f>
        <v>Rice</v>
      </c>
      <c r="H19" s="7" t="str">
        <f>VLOOKUP(InputData[[#This Row],[PRODUCT ID]],MasterData[],3,0)</f>
        <v>Category01</v>
      </c>
      <c r="I19" s="7" t="str">
        <f>VLOOKUP(InputData[[#This Row],[PRODUCT ID]],MasterData[],4,0)</f>
        <v>Kg</v>
      </c>
      <c r="J19" s="7">
        <f>VLOOKUP(InputData[[#This Row],[PRODUCT ID]],MasterData[],5,0)</f>
        <v>105</v>
      </c>
      <c r="K19" s="8">
        <f>VLOOKUP(InputData[[#This Row],[PRODUCT ID]],MasterData[],6,0)</f>
        <v>142.80000000000001</v>
      </c>
      <c r="L19" s="8">
        <f>InputData[[#This Row],[BUYING PRIZE]]*InputData[[#This Row],[QUANTITY]]</f>
        <v>525</v>
      </c>
      <c r="M19" s="8">
        <f>InputData[[#This Row],[SELLING PRICE]]*InputData[[#This Row],[QUANTITY]]*(1-InputData[[#This Row],[DISCOUNT %]])</f>
        <v>714</v>
      </c>
      <c r="N19" s="7">
        <f>DAY(InputData[[#This Row],[DATE]])</f>
        <v>23</v>
      </c>
      <c r="O19" s="7" t="str">
        <f>TEXT(InputData[[#This Row],[DATE]],"MMM")</f>
        <v>Jan</v>
      </c>
      <c r="P19" s="7">
        <f>YEAR(InputData[[#This Row],[DATE]])</f>
        <v>2022</v>
      </c>
      <c r="R19" t="s">
        <v>42</v>
      </c>
      <c r="S19" t="s">
        <v>42</v>
      </c>
      <c r="T19" t="s">
        <v>159</v>
      </c>
      <c r="U19" t="str">
        <f t="shared" si="0"/>
        <v>Peanut Butter</v>
      </c>
    </row>
    <row r="20" spans="1:21" x14ac:dyDescent="0.25">
      <c r="A20" s="3">
        <v>44598</v>
      </c>
      <c r="B20" s="4" t="s">
        <v>10</v>
      </c>
      <c r="C20" s="5">
        <v>6</v>
      </c>
      <c r="D20" s="5" t="s">
        <v>108</v>
      </c>
      <c r="E20" s="5" t="s">
        <v>107</v>
      </c>
      <c r="F20" s="6">
        <v>0</v>
      </c>
      <c r="G20" s="7" t="str">
        <f>VLOOKUP(InputData[[#This Row],[PRODUCT ID]],MasterData[],2,0)</f>
        <v>Rice</v>
      </c>
      <c r="H20" s="7" t="str">
        <f>VLOOKUP(InputData[[#This Row],[PRODUCT ID]],MasterData[],3,0)</f>
        <v>Category01</v>
      </c>
      <c r="I20" s="7" t="str">
        <f>VLOOKUP(InputData[[#This Row],[PRODUCT ID]],MasterData[],4,0)</f>
        <v>Kg</v>
      </c>
      <c r="J20" s="7">
        <f>VLOOKUP(InputData[[#This Row],[PRODUCT ID]],MasterData[],5,0)</f>
        <v>105</v>
      </c>
      <c r="K20" s="8">
        <f>VLOOKUP(InputData[[#This Row],[PRODUCT ID]],MasterData[],6,0)</f>
        <v>142.80000000000001</v>
      </c>
      <c r="L20" s="8">
        <f>InputData[[#This Row],[BUYING PRIZE]]*InputData[[#This Row],[QUANTITY]]</f>
        <v>630</v>
      </c>
      <c r="M20" s="8">
        <f>InputData[[#This Row],[SELLING PRICE]]*InputData[[#This Row],[QUANTITY]]*(1-InputData[[#This Row],[DISCOUNT %]])</f>
        <v>856.80000000000007</v>
      </c>
      <c r="N20" s="7">
        <f>DAY(InputData[[#This Row],[DATE]])</f>
        <v>6</v>
      </c>
      <c r="O20" s="7" t="str">
        <f>TEXT(InputData[[#This Row],[DATE]],"MMM")</f>
        <v>Feb</v>
      </c>
      <c r="P20" s="7">
        <f>YEAR(InputData[[#This Row],[DATE]])</f>
        <v>2022</v>
      </c>
      <c r="R20" t="s">
        <v>44</v>
      </c>
      <c r="S20" t="s">
        <v>44</v>
      </c>
      <c r="T20" t="s">
        <v>160</v>
      </c>
      <c r="U20" t="str">
        <f t="shared" si="0"/>
        <v>Note Book</v>
      </c>
    </row>
    <row r="21" spans="1:21" x14ac:dyDescent="0.25">
      <c r="A21" s="3">
        <v>44611</v>
      </c>
      <c r="B21" s="4" t="s">
        <v>10</v>
      </c>
      <c r="C21" s="5">
        <v>13</v>
      </c>
      <c r="D21" s="5" t="s">
        <v>106</v>
      </c>
      <c r="E21" s="5" t="s">
        <v>107</v>
      </c>
      <c r="F21" s="6">
        <v>0</v>
      </c>
      <c r="G21" s="7" t="str">
        <f>VLOOKUP(InputData[[#This Row],[PRODUCT ID]],MasterData[],2,0)</f>
        <v>Rice</v>
      </c>
      <c r="H21" s="7" t="str">
        <f>VLOOKUP(InputData[[#This Row],[PRODUCT ID]],MasterData[],3,0)</f>
        <v>Category01</v>
      </c>
      <c r="I21" s="7" t="str">
        <f>VLOOKUP(InputData[[#This Row],[PRODUCT ID]],MasterData[],4,0)</f>
        <v>Kg</v>
      </c>
      <c r="J21" s="7">
        <f>VLOOKUP(InputData[[#This Row],[PRODUCT ID]],MasterData[],5,0)</f>
        <v>105</v>
      </c>
      <c r="K21" s="8">
        <f>VLOOKUP(InputData[[#This Row],[PRODUCT ID]],MasterData[],6,0)</f>
        <v>142.80000000000001</v>
      </c>
      <c r="L21" s="8">
        <f>InputData[[#This Row],[BUYING PRIZE]]*InputData[[#This Row],[QUANTITY]]</f>
        <v>1365</v>
      </c>
      <c r="M21" s="8">
        <f>InputData[[#This Row],[SELLING PRICE]]*InputData[[#This Row],[QUANTITY]]*(1-InputData[[#This Row],[DISCOUNT %]])</f>
        <v>1856.4</v>
      </c>
      <c r="N21" s="7">
        <f>DAY(InputData[[#This Row],[DATE]])</f>
        <v>19</v>
      </c>
      <c r="O21" s="7" t="str">
        <f>TEXT(InputData[[#This Row],[DATE]],"MMM")</f>
        <v>Feb</v>
      </c>
      <c r="P21" s="7">
        <f>YEAR(InputData[[#This Row],[DATE]])</f>
        <v>2022</v>
      </c>
      <c r="R21" t="s">
        <v>46</v>
      </c>
      <c r="S21" t="s">
        <v>46</v>
      </c>
      <c r="T21" t="s">
        <v>161</v>
      </c>
      <c r="U21" t="str">
        <f t="shared" si="0"/>
        <v>Bucket</v>
      </c>
    </row>
    <row r="22" spans="1:21" x14ac:dyDescent="0.25">
      <c r="A22" s="3">
        <v>44652</v>
      </c>
      <c r="B22" s="4" t="s">
        <v>10</v>
      </c>
      <c r="C22" s="5">
        <v>2</v>
      </c>
      <c r="D22" s="5" t="s">
        <v>106</v>
      </c>
      <c r="E22" s="5" t="s">
        <v>107</v>
      </c>
      <c r="F22" s="6">
        <v>0</v>
      </c>
      <c r="G22" s="7" t="str">
        <f>VLOOKUP(InputData[[#This Row],[PRODUCT ID]],MasterData[],2,0)</f>
        <v>Rice</v>
      </c>
      <c r="H22" s="7" t="str">
        <f>VLOOKUP(InputData[[#This Row],[PRODUCT ID]],MasterData[],3,0)</f>
        <v>Category01</v>
      </c>
      <c r="I22" s="7" t="str">
        <f>VLOOKUP(InputData[[#This Row],[PRODUCT ID]],MasterData[],4,0)</f>
        <v>Kg</v>
      </c>
      <c r="J22" s="7">
        <f>VLOOKUP(InputData[[#This Row],[PRODUCT ID]],MasterData[],5,0)</f>
        <v>105</v>
      </c>
      <c r="K22" s="8">
        <f>VLOOKUP(InputData[[#This Row],[PRODUCT ID]],MasterData[],6,0)</f>
        <v>142.80000000000001</v>
      </c>
      <c r="L22" s="8">
        <f>InputData[[#This Row],[BUYING PRIZE]]*InputData[[#This Row],[QUANTITY]]</f>
        <v>210</v>
      </c>
      <c r="M22" s="8">
        <f>InputData[[#This Row],[SELLING PRICE]]*InputData[[#This Row],[QUANTITY]]*(1-InputData[[#This Row],[DISCOUNT %]])</f>
        <v>285.60000000000002</v>
      </c>
      <c r="N22" s="7">
        <f>DAY(InputData[[#This Row],[DATE]])</f>
        <v>1</v>
      </c>
      <c r="O22" s="7" t="str">
        <f>TEXT(InputData[[#This Row],[DATE]],"MMM")</f>
        <v>Apr</v>
      </c>
      <c r="P22" s="7">
        <f>YEAR(InputData[[#This Row],[DATE]])</f>
        <v>2022</v>
      </c>
      <c r="R22" t="s">
        <v>48</v>
      </c>
      <c r="S22" t="s">
        <v>48</v>
      </c>
      <c r="T22" t="s">
        <v>162</v>
      </c>
      <c r="U22" t="str">
        <f t="shared" si="0"/>
        <v>Almond Oil</v>
      </c>
    </row>
    <row r="23" spans="1:21" x14ac:dyDescent="0.25">
      <c r="A23" s="3">
        <v>44653</v>
      </c>
      <c r="B23" s="4" t="s">
        <v>10</v>
      </c>
      <c r="C23" s="5">
        <v>3</v>
      </c>
      <c r="D23" s="5" t="s">
        <v>108</v>
      </c>
      <c r="E23" s="5" t="s">
        <v>107</v>
      </c>
      <c r="F23" s="6">
        <v>0</v>
      </c>
      <c r="G23" s="7" t="str">
        <f>VLOOKUP(InputData[[#This Row],[PRODUCT ID]],MasterData[],2,0)</f>
        <v>Rice</v>
      </c>
      <c r="H23" s="7" t="str">
        <f>VLOOKUP(InputData[[#This Row],[PRODUCT ID]],MasterData[],3,0)</f>
        <v>Category01</v>
      </c>
      <c r="I23" s="7" t="str">
        <f>VLOOKUP(InputData[[#This Row],[PRODUCT ID]],MasterData[],4,0)</f>
        <v>Kg</v>
      </c>
      <c r="J23" s="7">
        <f>VLOOKUP(InputData[[#This Row],[PRODUCT ID]],MasterData[],5,0)</f>
        <v>105</v>
      </c>
      <c r="K23" s="8">
        <f>VLOOKUP(InputData[[#This Row],[PRODUCT ID]],MasterData[],6,0)</f>
        <v>142.80000000000001</v>
      </c>
      <c r="L23" s="8">
        <f>InputData[[#This Row],[BUYING PRIZE]]*InputData[[#This Row],[QUANTITY]]</f>
        <v>315</v>
      </c>
      <c r="M23" s="8">
        <f>InputData[[#This Row],[SELLING PRICE]]*InputData[[#This Row],[QUANTITY]]*(1-InputData[[#This Row],[DISCOUNT %]])</f>
        <v>428.40000000000003</v>
      </c>
      <c r="N23" s="7">
        <f>DAY(InputData[[#This Row],[DATE]])</f>
        <v>2</v>
      </c>
      <c r="O23" s="7" t="str">
        <f>TEXT(InputData[[#This Row],[DATE]],"MMM")</f>
        <v>Apr</v>
      </c>
      <c r="P23" s="7">
        <f>YEAR(InputData[[#This Row],[DATE]])</f>
        <v>2022</v>
      </c>
      <c r="R23" t="s">
        <v>51</v>
      </c>
      <c r="S23" t="s">
        <v>51</v>
      </c>
      <c r="T23" t="s">
        <v>163</v>
      </c>
      <c r="U23" t="str">
        <f t="shared" si="0"/>
        <v>Soap</v>
      </c>
    </row>
    <row r="24" spans="1:21" x14ac:dyDescent="0.25">
      <c r="A24" s="3">
        <v>44660</v>
      </c>
      <c r="B24" s="4" t="s">
        <v>10</v>
      </c>
      <c r="C24" s="5">
        <v>9</v>
      </c>
      <c r="D24" s="5" t="s">
        <v>106</v>
      </c>
      <c r="E24" s="5" t="s">
        <v>106</v>
      </c>
      <c r="F24" s="6">
        <v>0</v>
      </c>
      <c r="G24" s="7" t="str">
        <f>VLOOKUP(InputData[[#This Row],[PRODUCT ID]],MasterData[],2,0)</f>
        <v>Rice</v>
      </c>
      <c r="H24" s="7" t="str">
        <f>VLOOKUP(InputData[[#This Row],[PRODUCT ID]],MasterData[],3,0)</f>
        <v>Category01</v>
      </c>
      <c r="I24" s="7" t="str">
        <f>VLOOKUP(InputData[[#This Row],[PRODUCT ID]],MasterData[],4,0)</f>
        <v>Kg</v>
      </c>
      <c r="J24" s="7">
        <f>VLOOKUP(InputData[[#This Row],[PRODUCT ID]],MasterData[],5,0)</f>
        <v>105</v>
      </c>
      <c r="K24" s="8">
        <f>VLOOKUP(InputData[[#This Row],[PRODUCT ID]],MasterData[],6,0)</f>
        <v>142.80000000000001</v>
      </c>
      <c r="L24" s="8">
        <f>InputData[[#This Row],[BUYING PRIZE]]*InputData[[#This Row],[QUANTITY]]</f>
        <v>945</v>
      </c>
      <c r="M24" s="8">
        <f>InputData[[#This Row],[SELLING PRICE]]*InputData[[#This Row],[QUANTITY]]*(1-InputData[[#This Row],[DISCOUNT %]])</f>
        <v>1285.2</v>
      </c>
      <c r="N24" s="7">
        <f>DAY(InputData[[#This Row],[DATE]])</f>
        <v>9</v>
      </c>
      <c r="O24" s="7" t="str">
        <f>TEXT(InputData[[#This Row],[DATE]],"MMM")</f>
        <v>Apr</v>
      </c>
      <c r="P24" s="7">
        <f>YEAR(InputData[[#This Row],[DATE]])</f>
        <v>2022</v>
      </c>
      <c r="R24" t="s">
        <v>53</v>
      </c>
      <c r="S24" t="s">
        <v>53</v>
      </c>
      <c r="T24" t="s">
        <v>164</v>
      </c>
      <c r="U24" t="str">
        <f t="shared" si="0"/>
        <v>Washing soap</v>
      </c>
    </row>
    <row r="25" spans="1:21" x14ac:dyDescent="0.25">
      <c r="A25" s="3">
        <v>44706</v>
      </c>
      <c r="B25" s="4" t="s">
        <v>10</v>
      </c>
      <c r="C25" s="5">
        <v>7</v>
      </c>
      <c r="D25" s="5" t="s">
        <v>106</v>
      </c>
      <c r="E25" s="5" t="s">
        <v>106</v>
      </c>
      <c r="F25" s="6">
        <v>0</v>
      </c>
      <c r="G25" s="7" t="str">
        <f>VLOOKUP(InputData[[#This Row],[PRODUCT ID]],MasterData[],2,0)</f>
        <v>Rice</v>
      </c>
      <c r="H25" s="7" t="str">
        <f>VLOOKUP(InputData[[#This Row],[PRODUCT ID]],MasterData[],3,0)</f>
        <v>Category01</v>
      </c>
      <c r="I25" s="7" t="str">
        <f>VLOOKUP(InputData[[#This Row],[PRODUCT ID]],MasterData[],4,0)</f>
        <v>Kg</v>
      </c>
      <c r="J25" s="7">
        <f>VLOOKUP(InputData[[#This Row],[PRODUCT ID]],MasterData[],5,0)</f>
        <v>105</v>
      </c>
      <c r="K25" s="8">
        <f>VLOOKUP(InputData[[#This Row],[PRODUCT ID]],MasterData[],6,0)</f>
        <v>142.80000000000001</v>
      </c>
      <c r="L25" s="8">
        <f>InputData[[#This Row],[BUYING PRIZE]]*InputData[[#This Row],[QUANTITY]]</f>
        <v>735</v>
      </c>
      <c r="M25" s="8">
        <f>InputData[[#This Row],[SELLING PRICE]]*InputData[[#This Row],[QUANTITY]]*(1-InputData[[#This Row],[DISCOUNT %]])</f>
        <v>999.60000000000014</v>
      </c>
      <c r="N25" s="7">
        <f>DAY(InputData[[#This Row],[DATE]])</f>
        <v>25</v>
      </c>
      <c r="O25" s="7" t="str">
        <f>TEXT(InputData[[#This Row],[DATE]],"MMM")</f>
        <v>May</v>
      </c>
      <c r="P25" s="7">
        <f>YEAR(InputData[[#This Row],[DATE]])</f>
        <v>2022</v>
      </c>
      <c r="R25" t="s">
        <v>55</v>
      </c>
      <c r="S25" t="s">
        <v>55</v>
      </c>
      <c r="T25" t="s">
        <v>165</v>
      </c>
      <c r="U25" t="str">
        <f t="shared" si="0"/>
        <v>Bathing Soap</v>
      </c>
    </row>
    <row r="26" spans="1:21" x14ac:dyDescent="0.25">
      <c r="A26" s="3">
        <v>44731</v>
      </c>
      <c r="B26" s="4" t="s">
        <v>10</v>
      </c>
      <c r="C26" s="5">
        <v>8</v>
      </c>
      <c r="D26" s="5" t="s">
        <v>108</v>
      </c>
      <c r="E26" s="5" t="s">
        <v>107</v>
      </c>
      <c r="F26" s="6">
        <v>0</v>
      </c>
      <c r="G26" s="7" t="str">
        <f>VLOOKUP(InputData[[#This Row],[PRODUCT ID]],MasterData[],2,0)</f>
        <v>Rice</v>
      </c>
      <c r="H26" s="7" t="str">
        <f>VLOOKUP(InputData[[#This Row],[PRODUCT ID]],MasterData[],3,0)</f>
        <v>Category01</v>
      </c>
      <c r="I26" s="7" t="str">
        <f>VLOOKUP(InputData[[#This Row],[PRODUCT ID]],MasterData[],4,0)</f>
        <v>Kg</v>
      </c>
      <c r="J26" s="7">
        <f>VLOOKUP(InputData[[#This Row],[PRODUCT ID]],MasterData[],5,0)</f>
        <v>105</v>
      </c>
      <c r="K26" s="8">
        <f>VLOOKUP(InputData[[#This Row],[PRODUCT ID]],MasterData[],6,0)</f>
        <v>142.80000000000001</v>
      </c>
      <c r="L26" s="8">
        <f>InputData[[#This Row],[BUYING PRIZE]]*InputData[[#This Row],[QUANTITY]]</f>
        <v>840</v>
      </c>
      <c r="M26" s="8">
        <f>InputData[[#This Row],[SELLING PRICE]]*InputData[[#This Row],[QUANTITY]]*(1-InputData[[#This Row],[DISCOUNT %]])</f>
        <v>1142.4000000000001</v>
      </c>
      <c r="N26" s="7">
        <f>DAY(InputData[[#This Row],[DATE]])</f>
        <v>19</v>
      </c>
      <c r="O26" s="7" t="str">
        <f>TEXT(InputData[[#This Row],[DATE]],"MMM")</f>
        <v>Jun</v>
      </c>
      <c r="P26" s="7">
        <f>YEAR(InputData[[#This Row],[DATE]])</f>
        <v>2022</v>
      </c>
      <c r="R26" t="s">
        <v>57</v>
      </c>
      <c r="S26" t="s">
        <v>57</v>
      </c>
      <c r="T26" t="s">
        <v>166</v>
      </c>
      <c r="U26" t="str">
        <f t="shared" si="0"/>
        <v>Dish washer</v>
      </c>
    </row>
    <row r="27" spans="1:21" x14ac:dyDescent="0.25">
      <c r="A27" s="3">
        <v>44808</v>
      </c>
      <c r="B27" s="4" t="s">
        <v>10</v>
      </c>
      <c r="C27" s="5">
        <v>1</v>
      </c>
      <c r="D27" s="5" t="s">
        <v>108</v>
      </c>
      <c r="E27" s="5" t="s">
        <v>107</v>
      </c>
      <c r="F27" s="6">
        <v>0</v>
      </c>
      <c r="G27" s="7" t="str">
        <f>VLOOKUP(InputData[[#This Row],[PRODUCT ID]],MasterData[],2,0)</f>
        <v>Rice</v>
      </c>
      <c r="H27" s="7" t="str">
        <f>VLOOKUP(InputData[[#This Row],[PRODUCT ID]],MasterData[],3,0)</f>
        <v>Category01</v>
      </c>
      <c r="I27" s="7" t="str">
        <f>VLOOKUP(InputData[[#This Row],[PRODUCT ID]],MasterData[],4,0)</f>
        <v>Kg</v>
      </c>
      <c r="J27" s="7">
        <f>VLOOKUP(InputData[[#This Row],[PRODUCT ID]],MasterData[],5,0)</f>
        <v>105</v>
      </c>
      <c r="K27" s="8">
        <f>VLOOKUP(InputData[[#This Row],[PRODUCT ID]],MasterData[],6,0)</f>
        <v>142.80000000000001</v>
      </c>
      <c r="L27" s="8">
        <f>InputData[[#This Row],[BUYING PRIZE]]*InputData[[#This Row],[QUANTITY]]</f>
        <v>105</v>
      </c>
      <c r="M27" s="8">
        <f>InputData[[#This Row],[SELLING PRICE]]*InputData[[#This Row],[QUANTITY]]*(1-InputData[[#This Row],[DISCOUNT %]])</f>
        <v>142.80000000000001</v>
      </c>
      <c r="N27" s="7">
        <f>DAY(InputData[[#This Row],[DATE]])</f>
        <v>4</v>
      </c>
      <c r="O27" s="7" t="str">
        <f>TEXT(InputData[[#This Row],[DATE]],"MMM")</f>
        <v>Sep</v>
      </c>
      <c r="P27" s="7">
        <f>YEAR(InputData[[#This Row],[DATE]])</f>
        <v>2022</v>
      </c>
      <c r="R27" t="s">
        <v>59</v>
      </c>
      <c r="S27" t="s">
        <v>59</v>
      </c>
      <c r="T27" t="s">
        <v>167</v>
      </c>
      <c r="U27" t="str">
        <f t="shared" si="0"/>
        <v>Mugs</v>
      </c>
    </row>
    <row r="28" spans="1:21" x14ac:dyDescent="0.25">
      <c r="A28" s="3">
        <v>44847</v>
      </c>
      <c r="B28" s="4" t="s">
        <v>10</v>
      </c>
      <c r="C28" s="5">
        <v>15</v>
      </c>
      <c r="D28" s="5" t="s">
        <v>106</v>
      </c>
      <c r="E28" s="5" t="s">
        <v>106</v>
      </c>
      <c r="F28" s="6">
        <v>0</v>
      </c>
      <c r="G28" s="7" t="str">
        <f>VLOOKUP(InputData[[#This Row],[PRODUCT ID]],MasterData[],2,0)</f>
        <v>Rice</v>
      </c>
      <c r="H28" s="7" t="str">
        <f>VLOOKUP(InputData[[#This Row],[PRODUCT ID]],MasterData[],3,0)</f>
        <v>Category01</v>
      </c>
      <c r="I28" s="7" t="str">
        <f>VLOOKUP(InputData[[#This Row],[PRODUCT ID]],MasterData[],4,0)</f>
        <v>Kg</v>
      </c>
      <c r="J28" s="7">
        <f>VLOOKUP(InputData[[#This Row],[PRODUCT ID]],MasterData[],5,0)</f>
        <v>105</v>
      </c>
      <c r="K28" s="8">
        <f>VLOOKUP(InputData[[#This Row],[PRODUCT ID]],MasterData[],6,0)</f>
        <v>142.80000000000001</v>
      </c>
      <c r="L28" s="8">
        <f>InputData[[#This Row],[BUYING PRIZE]]*InputData[[#This Row],[QUANTITY]]</f>
        <v>1575</v>
      </c>
      <c r="M28" s="8">
        <f>InputData[[#This Row],[SELLING PRICE]]*InputData[[#This Row],[QUANTITY]]*(1-InputData[[#This Row],[DISCOUNT %]])</f>
        <v>2142</v>
      </c>
      <c r="N28" s="7">
        <f>DAY(InputData[[#This Row],[DATE]])</f>
        <v>13</v>
      </c>
      <c r="O28" s="7" t="str">
        <f>TEXT(InputData[[#This Row],[DATE]],"MMM")</f>
        <v>Oct</v>
      </c>
      <c r="P28" s="7">
        <f>YEAR(InputData[[#This Row],[DATE]])</f>
        <v>2022</v>
      </c>
      <c r="R28" t="s">
        <v>61</v>
      </c>
      <c r="S28" t="s">
        <v>61</v>
      </c>
      <c r="T28" t="s">
        <v>168</v>
      </c>
      <c r="U28" t="str">
        <f t="shared" si="0"/>
        <v>Glass</v>
      </c>
    </row>
    <row r="29" spans="1:21" x14ac:dyDescent="0.25">
      <c r="A29" s="3">
        <v>44879</v>
      </c>
      <c r="B29" s="4" t="s">
        <v>10</v>
      </c>
      <c r="C29" s="5">
        <v>1</v>
      </c>
      <c r="D29" s="5" t="s">
        <v>108</v>
      </c>
      <c r="E29" s="5" t="s">
        <v>107</v>
      </c>
      <c r="F29" s="6">
        <v>0</v>
      </c>
      <c r="G29" s="7" t="str">
        <f>VLOOKUP(InputData[[#This Row],[PRODUCT ID]],MasterData[],2,0)</f>
        <v>Rice</v>
      </c>
      <c r="H29" s="7" t="str">
        <f>VLOOKUP(InputData[[#This Row],[PRODUCT ID]],MasterData[],3,0)</f>
        <v>Category01</v>
      </c>
      <c r="I29" s="7" t="str">
        <f>VLOOKUP(InputData[[#This Row],[PRODUCT ID]],MasterData[],4,0)</f>
        <v>Kg</v>
      </c>
      <c r="J29" s="7">
        <f>VLOOKUP(InputData[[#This Row],[PRODUCT ID]],MasterData[],5,0)</f>
        <v>105</v>
      </c>
      <c r="K29" s="8">
        <f>VLOOKUP(InputData[[#This Row],[PRODUCT ID]],MasterData[],6,0)</f>
        <v>142.80000000000001</v>
      </c>
      <c r="L29" s="8">
        <f>InputData[[#This Row],[BUYING PRIZE]]*InputData[[#This Row],[QUANTITY]]</f>
        <v>105</v>
      </c>
      <c r="M29" s="8">
        <f>InputData[[#This Row],[SELLING PRICE]]*InputData[[#This Row],[QUANTITY]]*(1-InputData[[#This Row],[DISCOUNT %]])</f>
        <v>142.80000000000001</v>
      </c>
      <c r="N29" s="7">
        <f>DAY(InputData[[#This Row],[DATE]])</f>
        <v>14</v>
      </c>
      <c r="O29" s="7" t="str">
        <f>TEXT(InputData[[#This Row],[DATE]],"MMM")</f>
        <v>Nov</v>
      </c>
      <c r="P29" s="7">
        <f>YEAR(InputData[[#This Row],[DATE]])</f>
        <v>2022</v>
      </c>
      <c r="R29" t="s">
        <v>64</v>
      </c>
      <c r="S29" t="s">
        <v>64</v>
      </c>
      <c r="T29" t="s">
        <v>169</v>
      </c>
      <c r="U29" t="str">
        <f t="shared" si="0"/>
        <v>Liquid soap</v>
      </c>
    </row>
    <row r="30" spans="1:21" x14ac:dyDescent="0.25">
      <c r="A30" s="3">
        <v>44205</v>
      </c>
      <c r="B30" s="4" t="s">
        <v>12</v>
      </c>
      <c r="C30" s="5">
        <v>8</v>
      </c>
      <c r="D30" s="5" t="s">
        <v>108</v>
      </c>
      <c r="E30" s="5" t="s">
        <v>107</v>
      </c>
      <c r="F30" s="6">
        <v>0</v>
      </c>
      <c r="G30" s="7" t="str">
        <f>VLOOKUP(InputData[[#This Row],[PRODUCT ID]],MasterData[],2,0)</f>
        <v>Wheat Flour</v>
      </c>
      <c r="H30" s="7" t="str">
        <f>VLOOKUP(InputData[[#This Row],[PRODUCT ID]],MasterData[],3,0)</f>
        <v>Category01</v>
      </c>
      <c r="I30" s="7" t="str">
        <f>VLOOKUP(InputData[[#This Row],[PRODUCT ID]],MasterData[],4,0)</f>
        <v>Kg</v>
      </c>
      <c r="J30" s="7">
        <f>VLOOKUP(InputData[[#This Row],[PRODUCT ID]],MasterData[],5,0)</f>
        <v>71</v>
      </c>
      <c r="K30" s="8">
        <f>VLOOKUP(InputData[[#This Row],[PRODUCT ID]],MasterData[],6,0)</f>
        <v>80.94</v>
      </c>
      <c r="L30" s="8">
        <f>InputData[[#This Row],[BUYING PRIZE]]*InputData[[#This Row],[QUANTITY]]</f>
        <v>568</v>
      </c>
      <c r="M30" s="8">
        <f>InputData[[#This Row],[SELLING PRICE]]*InputData[[#This Row],[QUANTITY]]*(1-InputData[[#This Row],[DISCOUNT %]])</f>
        <v>647.52</v>
      </c>
      <c r="N30" s="7">
        <f>DAY(InputData[[#This Row],[DATE]])</f>
        <v>9</v>
      </c>
      <c r="O30" s="7" t="str">
        <f>TEXT(InputData[[#This Row],[DATE]],"MMM")</f>
        <v>Jan</v>
      </c>
      <c r="P30" s="7">
        <f>YEAR(InputData[[#This Row],[DATE]])</f>
        <v>2021</v>
      </c>
      <c r="R30" t="s">
        <v>66</v>
      </c>
      <c r="S30" t="s">
        <v>66</v>
      </c>
      <c r="T30" t="s">
        <v>170</v>
      </c>
      <c r="U30" t="str">
        <f t="shared" si="0"/>
        <v>Soa Bean</v>
      </c>
    </row>
    <row r="31" spans="1:21" x14ac:dyDescent="0.25">
      <c r="A31" s="3">
        <v>44217</v>
      </c>
      <c r="B31" s="4" t="s">
        <v>12</v>
      </c>
      <c r="C31" s="5">
        <v>9</v>
      </c>
      <c r="D31" s="5" t="s">
        <v>108</v>
      </c>
      <c r="E31" s="5" t="s">
        <v>106</v>
      </c>
      <c r="F31" s="6">
        <v>0</v>
      </c>
      <c r="G31" s="7" t="str">
        <f>VLOOKUP(InputData[[#This Row],[PRODUCT ID]],MasterData[],2,0)</f>
        <v>Wheat Flour</v>
      </c>
      <c r="H31" s="7" t="str">
        <f>VLOOKUP(InputData[[#This Row],[PRODUCT ID]],MasterData[],3,0)</f>
        <v>Category01</v>
      </c>
      <c r="I31" s="7" t="str">
        <f>VLOOKUP(InputData[[#This Row],[PRODUCT ID]],MasterData[],4,0)</f>
        <v>Kg</v>
      </c>
      <c r="J31" s="7">
        <f>VLOOKUP(InputData[[#This Row],[PRODUCT ID]],MasterData[],5,0)</f>
        <v>71</v>
      </c>
      <c r="K31" s="8">
        <f>VLOOKUP(InputData[[#This Row],[PRODUCT ID]],MasterData[],6,0)</f>
        <v>80.94</v>
      </c>
      <c r="L31" s="8">
        <f>InputData[[#This Row],[BUYING PRIZE]]*InputData[[#This Row],[QUANTITY]]</f>
        <v>639</v>
      </c>
      <c r="M31" s="8">
        <f>InputData[[#This Row],[SELLING PRICE]]*InputData[[#This Row],[QUANTITY]]*(1-InputData[[#This Row],[DISCOUNT %]])</f>
        <v>728.46</v>
      </c>
      <c r="N31" s="7">
        <f>DAY(InputData[[#This Row],[DATE]])</f>
        <v>21</v>
      </c>
      <c r="O31" s="7" t="str">
        <f>TEXT(InputData[[#This Row],[DATE]],"MMM")</f>
        <v>Jan</v>
      </c>
      <c r="P31" s="7">
        <f>YEAR(InputData[[#This Row],[DATE]])</f>
        <v>2021</v>
      </c>
      <c r="R31" t="s">
        <v>68</v>
      </c>
      <c r="S31" t="s">
        <v>68</v>
      </c>
      <c r="T31" t="s">
        <v>171</v>
      </c>
      <c r="U31" t="str">
        <f t="shared" si="0"/>
        <v>Milk</v>
      </c>
    </row>
    <row r="32" spans="1:21" x14ac:dyDescent="0.25">
      <c r="A32" s="3">
        <v>44380</v>
      </c>
      <c r="B32" s="4" t="s">
        <v>12</v>
      </c>
      <c r="C32" s="5">
        <v>8</v>
      </c>
      <c r="D32" s="5" t="s">
        <v>106</v>
      </c>
      <c r="E32" s="5" t="s">
        <v>107</v>
      </c>
      <c r="F32" s="6">
        <v>0</v>
      </c>
      <c r="G32" s="7" t="str">
        <f>VLOOKUP(InputData[[#This Row],[PRODUCT ID]],MasterData[],2,0)</f>
        <v>Wheat Flour</v>
      </c>
      <c r="H32" s="7" t="str">
        <f>VLOOKUP(InputData[[#This Row],[PRODUCT ID]],MasterData[],3,0)</f>
        <v>Category01</v>
      </c>
      <c r="I32" s="7" t="str">
        <f>VLOOKUP(InputData[[#This Row],[PRODUCT ID]],MasterData[],4,0)</f>
        <v>Kg</v>
      </c>
      <c r="J32" s="7">
        <f>VLOOKUP(InputData[[#This Row],[PRODUCT ID]],MasterData[],5,0)</f>
        <v>71</v>
      </c>
      <c r="K32" s="8">
        <f>VLOOKUP(InputData[[#This Row],[PRODUCT ID]],MasterData[],6,0)</f>
        <v>80.94</v>
      </c>
      <c r="L32" s="8">
        <f>InputData[[#This Row],[BUYING PRIZE]]*InputData[[#This Row],[QUANTITY]]</f>
        <v>568</v>
      </c>
      <c r="M32" s="8">
        <f>InputData[[#This Row],[SELLING PRICE]]*InputData[[#This Row],[QUANTITY]]*(1-InputData[[#This Row],[DISCOUNT %]])</f>
        <v>647.52</v>
      </c>
      <c r="N32" s="7">
        <f>DAY(InputData[[#This Row],[DATE]])</f>
        <v>3</v>
      </c>
      <c r="O32" s="7" t="str">
        <f>TEXT(InputData[[#This Row],[DATE]],"MMM")</f>
        <v>Jul</v>
      </c>
      <c r="P32" s="7">
        <f>YEAR(InputData[[#This Row],[DATE]])</f>
        <v>2021</v>
      </c>
      <c r="R32" t="s">
        <v>70</v>
      </c>
      <c r="S32" t="s">
        <v>70</v>
      </c>
      <c r="T32" t="s">
        <v>172</v>
      </c>
      <c r="U32" t="str">
        <f t="shared" si="0"/>
        <v>Plates</v>
      </c>
    </row>
    <row r="33" spans="1:21" x14ac:dyDescent="0.25">
      <c r="A33" s="3">
        <v>44424</v>
      </c>
      <c r="B33" s="4" t="s">
        <v>12</v>
      </c>
      <c r="C33" s="5">
        <v>3</v>
      </c>
      <c r="D33" s="5" t="s">
        <v>106</v>
      </c>
      <c r="E33" s="5" t="s">
        <v>106</v>
      </c>
      <c r="F33" s="6">
        <v>0</v>
      </c>
      <c r="G33" s="7" t="str">
        <f>VLOOKUP(InputData[[#This Row],[PRODUCT ID]],MasterData[],2,0)</f>
        <v>Wheat Flour</v>
      </c>
      <c r="H33" s="7" t="str">
        <f>VLOOKUP(InputData[[#This Row],[PRODUCT ID]],MasterData[],3,0)</f>
        <v>Category01</v>
      </c>
      <c r="I33" s="7" t="str">
        <f>VLOOKUP(InputData[[#This Row],[PRODUCT ID]],MasterData[],4,0)</f>
        <v>Kg</v>
      </c>
      <c r="J33" s="7">
        <f>VLOOKUP(InputData[[#This Row],[PRODUCT ID]],MasterData[],5,0)</f>
        <v>71</v>
      </c>
      <c r="K33" s="8">
        <f>VLOOKUP(InputData[[#This Row],[PRODUCT ID]],MasterData[],6,0)</f>
        <v>80.94</v>
      </c>
      <c r="L33" s="8">
        <f>InputData[[#This Row],[BUYING PRIZE]]*InputData[[#This Row],[QUANTITY]]</f>
        <v>213</v>
      </c>
      <c r="M33" s="8">
        <f>InputData[[#This Row],[SELLING PRICE]]*InputData[[#This Row],[QUANTITY]]*(1-InputData[[#This Row],[DISCOUNT %]])</f>
        <v>242.82</v>
      </c>
      <c r="N33" s="7">
        <f>DAY(InputData[[#This Row],[DATE]])</f>
        <v>16</v>
      </c>
      <c r="O33" s="7" t="str">
        <f>TEXT(InputData[[#This Row],[DATE]],"MMM")</f>
        <v>Aug</v>
      </c>
      <c r="P33" s="7">
        <f>YEAR(InputData[[#This Row],[DATE]])</f>
        <v>2021</v>
      </c>
      <c r="R33" t="s">
        <v>72</v>
      </c>
      <c r="S33" t="s">
        <v>72</v>
      </c>
      <c r="T33" t="s">
        <v>173</v>
      </c>
      <c r="U33" t="str">
        <f t="shared" si="0"/>
        <v>Rice flour</v>
      </c>
    </row>
    <row r="34" spans="1:21" x14ac:dyDescent="0.25">
      <c r="A34" s="3">
        <v>44440</v>
      </c>
      <c r="B34" s="4" t="s">
        <v>12</v>
      </c>
      <c r="C34" s="5">
        <v>14</v>
      </c>
      <c r="D34" s="5" t="s">
        <v>106</v>
      </c>
      <c r="E34" s="5" t="s">
        <v>106</v>
      </c>
      <c r="F34" s="6">
        <v>0</v>
      </c>
      <c r="G34" s="7" t="str">
        <f>VLOOKUP(InputData[[#This Row],[PRODUCT ID]],MasterData[],2,0)</f>
        <v>Wheat Flour</v>
      </c>
      <c r="H34" s="7" t="str">
        <f>VLOOKUP(InputData[[#This Row],[PRODUCT ID]],MasterData[],3,0)</f>
        <v>Category01</v>
      </c>
      <c r="I34" s="7" t="str">
        <f>VLOOKUP(InputData[[#This Row],[PRODUCT ID]],MasterData[],4,0)</f>
        <v>Kg</v>
      </c>
      <c r="J34" s="7">
        <f>VLOOKUP(InputData[[#This Row],[PRODUCT ID]],MasterData[],5,0)</f>
        <v>71</v>
      </c>
      <c r="K34" s="8">
        <f>VLOOKUP(InputData[[#This Row],[PRODUCT ID]],MasterData[],6,0)</f>
        <v>80.94</v>
      </c>
      <c r="L34" s="8">
        <f>InputData[[#This Row],[BUYING PRIZE]]*InputData[[#This Row],[QUANTITY]]</f>
        <v>994</v>
      </c>
      <c r="M34" s="8">
        <f>InputData[[#This Row],[SELLING PRICE]]*InputData[[#This Row],[QUANTITY]]*(1-InputData[[#This Row],[DISCOUNT %]])</f>
        <v>1133.1599999999999</v>
      </c>
      <c r="N34" s="7">
        <f>DAY(InputData[[#This Row],[DATE]])</f>
        <v>1</v>
      </c>
      <c r="O34" s="7" t="str">
        <f>TEXT(InputData[[#This Row],[DATE]],"MMM")</f>
        <v>Sep</v>
      </c>
      <c r="P34" s="7">
        <f>YEAR(InputData[[#This Row],[DATE]])</f>
        <v>2021</v>
      </c>
      <c r="R34" t="s">
        <v>74</v>
      </c>
      <c r="S34" t="s">
        <v>74</v>
      </c>
      <c r="T34" t="s">
        <v>174</v>
      </c>
      <c r="U34" t="str">
        <f t="shared" si="0"/>
        <v>sugar</v>
      </c>
    </row>
    <row r="35" spans="1:21" x14ac:dyDescent="0.25">
      <c r="A35" s="3">
        <v>44548</v>
      </c>
      <c r="B35" s="4" t="s">
        <v>12</v>
      </c>
      <c r="C35" s="5">
        <v>2</v>
      </c>
      <c r="D35" s="5" t="s">
        <v>108</v>
      </c>
      <c r="E35" s="5" t="s">
        <v>107</v>
      </c>
      <c r="F35" s="6">
        <v>0</v>
      </c>
      <c r="G35" s="7" t="str">
        <f>VLOOKUP(InputData[[#This Row],[PRODUCT ID]],MasterData[],2,0)</f>
        <v>Wheat Flour</v>
      </c>
      <c r="H35" s="7" t="str">
        <f>VLOOKUP(InputData[[#This Row],[PRODUCT ID]],MasterData[],3,0)</f>
        <v>Category01</v>
      </c>
      <c r="I35" s="7" t="str">
        <f>VLOOKUP(InputData[[#This Row],[PRODUCT ID]],MasterData[],4,0)</f>
        <v>Kg</v>
      </c>
      <c r="J35" s="7">
        <f>VLOOKUP(InputData[[#This Row],[PRODUCT ID]],MasterData[],5,0)</f>
        <v>71</v>
      </c>
      <c r="K35" s="8">
        <f>VLOOKUP(InputData[[#This Row],[PRODUCT ID]],MasterData[],6,0)</f>
        <v>80.94</v>
      </c>
      <c r="L35" s="8">
        <f>InputData[[#This Row],[BUYING PRIZE]]*InputData[[#This Row],[QUANTITY]]</f>
        <v>142</v>
      </c>
      <c r="M35" s="8">
        <f>InputData[[#This Row],[SELLING PRICE]]*InputData[[#This Row],[QUANTITY]]*(1-InputData[[#This Row],[DISCOUNT %]])</f>
        <v>161.88</v>
      </c>
      <c r="N35" s="7">
        <f>DAY(InputData[[#This Row],[DATE]])</f>
        <v>18</v>
      </c>
      <c r="O35" s="7" t="str">
        <f>TEXT(InputData[[#This Row],[DATE]],"MMM")</f>
        <v>Dec</v>
      </c>
      <c r="P35" s="7">
        <f>YEAR(InputData[[#This Row],[DATE]])</f>
        <v>2021</v>
      </c>
      <c r="R35" t="s">
        <v>76</v>
      </c>
      <c r="S35" t="s">
        <v>76</v>
      </c>
      <c r="T35" t="s">
        <v>175</v>
      </c>
      <c r="U35" t="str">
        <f t="shared" si="0"/>
        <v>Grains</v>
      </c>
    </row>
    <row r="36" spans="1:21" x14ac:dyDescent="0.25">
      <c r="A36" s="3">
        <v>44627</v>
      </c>
      <c r="B36" s="4" t="s">
        <v>12</v>
      </c>
      <c r="C36" s="5">
        <v>1</v>
      </c>
      <c r="D36" s="5" t="s">
        <v>108</v>
      </c>
      <c r="E36" s="5" t="s">
        <v>107</v>
      </c>
      <c r="F36" s="6">
        <v>0</v>
      </c>
      <c r="G36" s="7" t="str">
        <f>VLOOKUP(InputData[[#This Row],[PRODUCT ID]],MasterData[],2,0)</f>
        <v>Wheat Flour</v>
      </c>
      <c r="H36" s="7" t="str">
        <f>VLOOKUP(InputData[[#This Row],[PRODUCT ID]],MasterData[],3,0)</f>
        <v>Category01</v>
      </c>
      <c r="I36" s="7" t="str">
        <f>VLOOKUP(InputData[[#This Row],[PRODUCT ID]],MasterData[],4,0)</f>
        <v>Kg</v>
      </c>
      <c r="J36" s="7">
        <f>VLOOKUP(InputData[[#This Row],[PRODUCT ID]],MasterData[],5,0)</f>
        <v>71</v>
      </c>
      <c r="K36" s="8">
        <f>VLOOKUP(InputData[[#This Row],[PRODUCT ID]],MasterData[],6,0)</f>
        <v>80.94</v>
      </c>
      <c r="L36" s="8">
        <f>InputData[[#This Row],[BUYING PRIZE]]*InputData[[#This Row],[QUANTITY]]</f>
        <v>71</v>
      </c>
      <c r="M36" s="8">
        <f>InputData[[#This Row],[SELLING PRICE]]*InputData[[#This Row],[QUANTITY]]*(1-InputData[[#This Row],[DISCOUNT %]])</f>
        <v>80.94</v>
      </c>
      <c r="N36" s="7">
        <f>DAY(InputData[[#This Row],[DATE]])</f>
        <v>7</v>
      </c>
      <c r="O36" s="7" t="str">
        <f>TEXT(InputData[[#This Row],[DATE]],"MMM")</f>
        <v>Mar</v>
      </c>
      <c r="P36" s="7">
        <f>YEAR(InputData[[#This Row],[DATE]])</f>
        <v>2022</v>
      </c>
      <c r="R36" t="s">
        <v>78</v>
      </c>
      <c r="S36" t="s">
        <v>78</v>
      </c>
      <c r="T36" t="s">
        <v>176</v>
      </c>
      <c r="U36" t="str">
        <f t="shared" si="0"/>
        <v>water cane</v>
      </c>
    </row>
    <row r="37" spans="1:21" x14ac:dyDescent="0.25">
      <c r="A37" s="3">
        <v>44676</v>
      </c>
      <c r="B37" s="4" t="s">
        <v>12</v>
      </c>
      <c r="C37" s="5">
        <v>8</v>
      </c>
      <c r="D37" s="5" t="s">
        <v>106</v>
      </c>
      <c r="E37" s="5" t="s">
        <v>106</v>
      </c>
      <c r="F37" s="6">
        <v>0</v>
      </c>
      <c r="G37" s="7" t="str">
        <f>VLOOKUP(InputData[[#This Row],[PRODUCT ID]],MasterData[],2,0)</f>
        <v>Wheat Flour</v>
      </c>
      <c r="H37" s="7" t="str">
        <f>VLOOKUP(InputData[[#This Row],[PRODUCT ID]],MasterData[],3,0)</f>
        <v>Category01</v>
      </c>
      <c r="I37" s="7" t="str">
        <f>VLOOKUP(InputData[[#This Row],[PRODUCT ID]],MasterData[],4,0)</f>
        <v>Kg</v>
      </c>
      <c r="J37" s="7">
        <f>VLOOKUP(InputData[[#This Row],[PRODUCT ID]],MasterData[],5,0)</f>
        <v>71</v>
      </c>
      <c r="K37" s="8">
        <f>VLOOKUP(InputData[[#This Row],[PRODUCT ID]],MasterData[],6,0)</f>
        <v>80.94</v>
      </c>
      <c r="L37" s="8">
        <f>InputData[[#This Row],[BUYING PRIZE]]*InputData[[#This Row],[QUANTITY]]</f>
        <v>568</v>
      </c>
      <c r="M37" s="8">
        <f>InputData[[#This Row],[SELLING PRICE]]*InputData[[#This Row],[QUANTITY]]*(1-InputData[[#This Row],[DISCOUNT %]])</f>
        <v>647.52</v>
      </c>
      <c r="N37" s="7">
        <f>DAY(InputData[[#This Row],[DATE]])</f>
        <v>25</v>
      </c>
      <c r="O37" s="7" t="str">
        <f>TEXT(InputData[[#This Row],[DATE]],"MMM")</f>
        <v>Apr</v>
      </c>
      <c r="P37" s="7">
        <f>YEAR(InputData[[#This Row],[DATE]])</f>
        <v>2022</v>
      </c>
      <c r="R37" t="s">
        <v>80</v>
      </c>
      <c r="S37" t="s">
        <v>80</v>
      </c>
      <c r="T37" t="s">
        <v>177</v>
      </c>
      <c r="U37" t="str">
        <f t="shared" si="0"/>
        <v>bun</v>
      </c>
    </row>
    <row r="38" spans="1:21" x14ac:dyDescent="0.25">
      <c r="A38" s="3">
        <v>44767</v>
      </c>
      <c r="B38" s="4" t="s">
        <v>12</v>
      </c>
      <c r="C38" s="5">
        <v>13</v>
      </c>
      <c r="D38" s="5" t="s">
        <v>106</v>
      </c>
      <c r="E38" s="5" t="s">
        <v>107</v>
      </c>
      <c r="F38" s="6">
        <v>0</v>
      </c>
      <c r="G38" s="7" t="str">
        <f>VLOOKUP(InputData[[#This Row],[PRODUCT ID]],MasterData[],2,0)</f>
        <v>Wheat Flour</v>
      </c>
      <c r="H38" s="7" t="str">
        <f>VLOOKUP(InputData[[#This Row],[PRODUCT ID]],MasterData[],3,0)</f>
        <v>Category01</v>
      </c>
      <c r="I38" s="7" t="str">
        <f>VLOOKUP(InputData[[#This Row],[PRODUCT ID]],MasterData[],4,0)</f>
        <v>Kg</v>
      </c>
      <c r="J38" s="7">
        <f>VLOOKUP(InputData[[#This Row],[PRODUCT ID]],MasterData[],5,0)</f>
        <v>71</v>
      </c>
      <c r="K38" s="8">
        <f>VLOOKUP(InputData[[#This Row],[PRODUCT ID]],MasterData[],6,0)</f>
        <v>80.94</v>
      </c>
      <c r="L38" s="8">
        <f>InputData[[#This Row],[BUYING PRIZE]]*InputData[[#This Row],[QUANTITY]]</f>
        <v>923</v>
      </c>
      <c r="M38" s="8">
        <f>InputData[[#This Row],[SELLING PRICE]]*InputData[[#This Row],[QUANTITY]]*(1-InputData[[#This Row],[DISCOUNT %]])</f>
        <v>1052.22</v>
      </c>
      <c r="N38" s="7">
        <f>DAY(InputData[[#This Row],[DATE]])</f>
        <v>25</v>
      </c>
      <c r="O38" s="7" t="str">
        <f>TEXT(InputData[[#This Row],[DATE]],"MMM")</f>
        <v>Jul</v>
      </c>
      <c r="P38" s="7">
        <f>YEAR(InputData[[#This Row],[DATE]])</f>
        <v>2022</v>
      </c>
      <c r="R38" t="s">
        <v>82</v>
      </c>
      <c r="S38" t="s">
        <v>82</v>
      </c>
      <c r="T38" t="s">
        <v>178</v>
      </c>
      <c r="U38" t="str">
        <f t="shared" si="0"/>
        <v>carrot</v>
      </c>
    </row>
    <row r="39" spans="1:21" x14ac:dyDescent="0.25">
      <c r="A39" s="3">
        <v>44768</v>
      </c>
      <c r="B39" s="4" t="s">
        <v>12</v>
      </c>
      <c r="C39" s="5">
        <v>10</v>
      </c>
      <c r="D39" s="5" t="s">
        <v>106</v>
      </c>
      <c r="E39" s="5" t="s">
        <v>106</v>
      </c>
      <c r="F39" s="6">
        <v>0</v>
      </c>
      <c r="G39" s="7" t="str">
        <f>VLOOKUP(InputData[[#This Row],[PRODUCT ID]],MasterData[],2,0)</f>
        <v>Wheat Flour</v>
      </c>
      <c r="H39" s="7" t="str">
        <f>VLOOKUP(InputData[[#This Row],[PRODUCT ID]],MasterData[],3,0)</f>
        <v>Category01</v>
      </c>
      <c r="I39" s="7" t="str">
        <f>VLOOKUP(InputData[[#This Row],[PRODUCT ID]],MasterData[],4,0)</f>
        <v>Kg</v>
      </c>
      <c r="J39" s="7">
        <f>VLOOKUP(InputData[[#This Row],[PRODUCT ID]],MasterData[],5,0)</f>
        <v>71</v>
      </c>
      <c r="K39" s="8">
        <f>VLOOKUP(InputData[[#This Row],[PRODUCT ID]],MasterData[],6,0)</f>
        <v>80.94</v>
      </c>
      <c r="L39" s="8">
        <f>InputData[[#This Row],[BUYING PRIZE]]*InputData[[#This Row],[QUANTITY]]</f>
        <v>710</v>
      </c>
      <c r="M39" s="8">
        <f>InputData[[#This Row],[SELLING PRICE]]*InputData[[#This Row],[QUANTITY]]*(1-InputData[[#This Row],[DISCOUNT %]])</f>
        <v>809.4</v>
      </c>
      <c r="N39" s="7">
        <f>DAY(InputData[[#This Row],[DATE]])</f>
        <v>26</v>
      </c>
      <c r="O39" s="7" t="str">
        <f>TEXT(InputData[[#This Row],[DATE]],"MMM")</f>
        <v>Jul</v>
      </c>
      <c r="P39" s="7">
        <f>YEAR(InputData[[#This Row],[DATE]])</f>
        <v>2022</v>
      </c>
      <c r="R39" t="s">
        <v>84</v>
      </c>
      <c r="S39" t="s">
        <v>84</v>
      </c>
      <c r="T39" t="s">
        <v>179</v>
      </c>
      <c r="U39" t="str">
        <f t="shared" si="0"/>
        <v>Beetroot</v>
      </c>
    </row>
    <row r="40" spans="1:21" x14ac:dyDescent="0.25">
      <c r="A40" s="3">
        <v>44813</v>
      </c>
      <c r="B40" s="4" t="s">
        <v>12</v>
      </c>
      <c r="C40" s="5">
        <v>3</v>
      </c>
      <c r="D40" s="5" t="s">
        <v>108</v>
      </c>
      <c r="E40" s="5" t="s">
        <v>106</v>
      </c>
      <c r="F40" s="6">
        <v>0</v>
      </c>
      <c r="G40" s="7" t="str">
        <f>VLOOKUP(InputData[[#This Row],[PRODUCT ID]],MasterData[],2,0)</f>
        <v>Wheat Flour</v>
      </c>
      <c r="H40" s="7" t="str">
        <f>VLOOKUP(InputData[[#This Row],[PRODUCT ID]],MasterData[],3,0)</f>
        <v>Category01</v>
      </c>
      <c r="I40" s="7" t="str">
        <f>VLOOKUP(InputData[[#This Row],[PRODUCT ID]],MasterData[],4,0)</f>
        <v>Kg</v>
      </c>
      <c r="J40" s="7">
        <f>VLOOKUP(InputData[[#This Row],[PRODUCT ID]],MasterData[],5,0)</f>
        <v>71</v>
      </c>
      <c r="K40" s="8">
        <f>VLOOKUP(InputData[[#This Row],[PRODUCT ID]],MasterData[],6,0)</f>
        <v>80.94</v>
      </c>
      <c r="L40" s="8">
        <f>InputData[[#This Row],[BUYING PRIZE]]*InputData[[#This Row],[QUANTITY]]</f>
        <v>213</v>
      </c>
      <c r="M40" s="8">
        <f>InputData[[#This Row],[SELLING PRICE]]*InputData[[#This Row],[QUANTITY]]*(1-InputData[[#This Row],[DISCOUNT %]])</f>
        <v>242.82</v>
      </c>
      <c r="N40" s="7">
        <f>DAY(InputData[[#This Row],[DATE]])</f>
        <v>9</v>
      </c>
      <c r="O40" s="7" t="str">
        <f>TEXT(InputData[[#This Row],[DATE]],"MMM")</f>
        <v>Sep</v>
      </c>
      <c r="P40" s="7">
        <f>YEAR(InputData[[#This Row],[DATE]])</f>
        <v>2022</v>
      </c>
      <c r="R40" t="s">
        <v>87</v>
      </c>
      <c r="S40" t="s">
        <v>87</v>
      </c>
      <c r="T40" t="s">
        <v>180</v>
      </c>
      <c r="U40" t="str">
        <f t="shared" si="0"/>
        <v>Onion Leaf</v>
      </c>
    </row>
    <row r="41" spans="1:21" x14ac:dyDescent="0.25">
      <c r="A41" s="3">
        <v>44199</v>
      </c>
      <c r="B41" s="4" t="s">
        <v>14</v>
      </c>
      <c r="C41" s="5">
        <v>5</v>
      </c>
      <c r="D41" s="5" t="s">
        <v>108</v>
      </c>
      <c r="E41" s="5" t="s">
        <v>106</v>
      </c>
      <c r="F41" s="6">
        <v>0</v>
      </c>
      <c r="G41" s="7" t="str">
        <f>VLOOKUP(InputData[[#This Row],[PRODUCT ID]],MasterData[],2,0)</f>
        <v>Sunflower Oil</v>
      </c>
      <c r="H41" s="7" t="str">
        <f>VLOOKUP(InputData[[#This Row],[PRODUCT ID]],MasterData[],3,0)</f>
        <v>Category01</v>
      </c>
      <c r="I41" s="7" t="str">
        <f>VLOOKUP(InputData[[#This Row],[PRODUCT ID]],MasterData[],4,0)</f>
        <v>Lt</v>
      </c>
      <c r="J41" s="7">
        <f>VLOOKUP(InputData[[#This Row],[PRODUCT ID]],MasterData[],5,0)</f>
        <v>44</v>
      </c>
      <c r="K41" s="8">
        <f>VLOOKUP(InputData[[#This Row],[PRODUCT ID]],MasterData[],6,0)</f>
        <v>48.84</v>
      </c>
      <c r="L41" s="8">
        <f>InputData[[#This Row],[BUYING PRIZE]]*InputData[[#This Row],[QUANTITY]]</f>
        <v>220</v>
      </c>
      <c r="M41" s="8">
        <f>InputData[[#This Row],[SELLING PRICE]]*InputData[[#This Row],[QUANTITY]]*(1-InputData[[#This Row],[DISCOUNT %]])</f>
        <v>244.20000000000002</v>
      </c>
      <c r="N41" s="7">
        <f>DAY(InputData[[#This Row],[DATE]])</f>
        <v>3</v>
      </c>
      <c r="O41" s="7" t="str">
        <f>TEXT(InputData[[#This Row],[DATE]],"MMM")</f>
        <v>Jan</v>
      </c>
      <c r="P41" s="7">
        <f>YEAR(InputData[[#This Row],[DATE]])</f>
        <v>2021</v>
      </c>
      <c r="R41" t="s">
        <v>89</v>
      </c>
      <c r="S41" t="s">
        <v>89</v>
      </c>
      <c r="T41" t="s">
        <v>181</v>
      </c>
      <c r="U41" t="str">
        <f t="shared" si="0"/>
        <v>Cabbage</v>
      </c>
    </row>
    <row r="42" spans="1:21" x14ac:dyDescent="0.25">
      <c r="A42" s="3">
        <v>44217</v>
      </c>
      <c r="B42" s="4" t="s">
        <v>14</v>
      </c>
      <c r="C42" s="5">
        <v>15</v>
      </c>
      <c r="D42" s="5" t="s">
        <v>105</v>
      </c>
      <c r="E42" s="5" t="s">
        <v>107</v>
      </c>
      <c r="F42" s="6">
        <v>0</v>
      </c>
      <c r="G42" s="7" t="str">
        <f>VLOOKUP(InputData[[#This Row],[PRODUCT ID]],MasterData[],2,0)</f>
        <v>Sunflower Oil</v>
      </c>
      <c r="H42" s="7" t="str">
        <f>VLOOKUP(InputData[[#This Row],[PRODUCT ID]],MasterData[],3,0)</f>
        <v>Category01</v>
      </c>
      <c r="I42" s="7" t="str">
        <f>VLOOKUP(InputData[[#This Row],[PRODUCT ID]],MasterData[],4,0)</f>
        <v>Lt</v>
      </c>
      <c r="J42" s="7">
        <f>VLOOKUP(InputData[[#This Row],[PRODUCT ID]],MasterData[],5,0)</f>
        <v>44</v>
      </c>
      <c r="K42" s="8">
        <f>VLOOKUP(InputData[[#This Row],[PRODUCT ID]],MasterData[],6,0)</f>
        <v>48.84</v>
      </c>
      <c r="L42" s="8">
        <f>InputData[[#This Row],[BUYING PRIZE]]*InputData[[#This Row],[QUANTITY]]</f>
        <v>660</v>
      </c>
      <c r="M42" s="8">
        <f>InputData[[#This Row],[SELLING PRICE]]*InputData[[#This Row],[QUANTITY]]*(1-InputData[[#This Row],[DISCOUNT %]])</f>
        <v>732.6</v>
      </c>
      <c r="N42" s="7">
        <f>DAY(InputData[[#This Row],[DATE]])</f>
        <v>21</v>
      </c>
      <c r="O42" s="7" t="str">
        <f>TEXT(InputData[[#This Row],[DATE]],"MMM")</f>
        <v>Jan</v>
      </c>
      <c r="P42" s="7">
        <f>YEAR(InputData[[#This Row],[DATE]])</f>
        <v>2021</v>
      </c>
      <c r="R42" t="s">
        <v>91</v>
      </c>
      <c r="S42" t="s">
        <v>91</v>
      </c>
      <c r="T42" t="s">
        <v>182</v>
      </c>
      <c r="U42" t="str">
        <f t="shared" si="0"/>
        <v>Apples</v>
      </c>
    </row>
    <row r="43" spans="1:21" x14ac:dyDescent="0.25">
      <c r="A43" s="3">
        <v>44224</v>
      </c>
      <c r="B43" s="4" t="s">
        <v>14</v>
      </c>
      <c r="C43" s="5">
        <v>10</v>
      </c>
      <c r="D43" s="5" t="s">
        <v>106</v>
      </c>
      <c r="E43" s="5" t="s">
        <v>107</v>
      </c>
      <c r="F43" s="6">
        <v>0</v>
      </c>
      <c r="G43" s="7" t="str">
        <f>VLOOKUP(InputData[[#This Row],[PRODUCT ID]],MasterData[],2,0)</f>
        <v>Sunflower Oil</v>
      </c>
      <c r="H43" s="7" t="str">
        <f>VLOOKUP(InputData[[#This Row],[PRODUCT ID]],MasterData[],3,0)</f>
        <v>Category01</v>
      </c>
      <c r="I43" s="7" t="str">
        <f>VLOOKUP(InputData[[#This Row],[PRODUCT ID]],MasterData[],4,0)</f>
        <v>Lt</v>
      </c>
      <c r="J43" s="7">
        <f>VLOOKUP(InputData[[#This Row],[PRODUCT ID]],MasterData[],5,0)</f>
        <v>44</v>
      </c>
      <c r="K43" s="8">
        <f>VLOOKUP(InputData[[#This Row],[PRODUCT ID]],MasterData[],6,0)</f>
        <v>48.84</v>
      </c>
      <c r="L43" s="8">
        <f>InputData[[#This Row],[BUYING PRIZE]]*InputData[[#This Row],[QUANTITY]]</f>
        <v>440</v>
      </c>
      <c r="M43" s="8">
        <f>InputData[[#This Row],[SELLING PRICE]]*InputData[[#This Row],[QUANTITY]]*(1-InputData[[#This Row],[DISCOUNT %]])</f>
        <v>488.40000000000003</v>
      </c>
      <c r="N43" s="7">
        <f>DAY(InputData[[#This Row],[DATE]])</f>
        <v>28</v>
      </c>
      <c r="O43" s="7" t="str">
        <f>TEXT(InputData[[#This Row],[DATE]],"MMM")</f>
        <v>Jan</v>
      </c>
      <c r="P43" s="7">
        <f>YEAR(InputData[[#This Row],[DATE]])</f>
        <v>2021</v>
      </c>
      <c r="R43" t="s">
        <v>93</v>
      </c>
      <c r="S43" t="s">
        <v>93</v>
      </c>
      <c r="T43" t="s">
        <v>183</v>
      </c>
      <c r="U43" t="str">
        <f t="shared" si="0"/>
        <v>Meat</v>
      </c>
    </row>
    <row r="44" spans="1:21" x14ac:dyDescent="0.25">
      <c r="A44" s="3">
        <v>44355</v>
      </c>
      <c r="B44" s="4" t="s">
        <v>14</v>
      </c>
      <c r="C44" s="5">
        <v>11</v>
      </c>
      <c r="D44" s="5" t="s">
        <v>105</v>
      </c>
      <c r="E44" s="5" t="s">
        <v>107</v>
      </c>
      <c r="F44" s="6">
        <v>0</v>
      </c>
      <c r="G44" s="7" t="str">
        <f>VLOOKUP(InputData[[#This Row],[PRODUCT ID]],MasterData[],2,0)</f>
        <v>Sunflower Oil</v>
      </c>
      <c r="H44" s="7" t="str">
        <f>VLOOKUP(InputData[[#This Row],[PRODUCT ID]],MasterData[],3,0)</f>
        <v>Category01</v>
      </c>
      <c r="I44" s="7" t="str">
        <f>VLOOKUP(InputData[[#This Row],[PRODUCT ID]],MasterData[],4,0)</f>
        <v>Lt</v>
      </c>
      <c r="J44" s="7">
        <f>VLOOKUP(InputData[[#This Row],[PRODUCT ID]],MasterData[],5,0)</f>
        <v>44</v>
      </c>
      <c r="K44" s="8">
        <f>VLOOKUP(InputData[[#This Row],[PRODUCT ID]],MasterData[],6,0)</f>
        <v>48.84</v>
      </c>
      <c r="L44" s="8">
        <f>InputData[[#This Row],[BUYING PRIZE]]*InputData[[#This Row],[QUANTITY]]</f>
        <v>484</v>
      </c>
      <c r="M44" s="8">
        <f>InputData[[#This Row],[SELLING PRICE]]*InputData[[#This Row],[QUANTITY]]*(1-InputData[[#This Row],[DISCOUNT %]])</f>
        <v>537.24</v>
      </c>
      <c r="N44" s="7">
        <f>DAY(InputData[[#This Row],[DATE]])</f>
        <v>8</v>
      </c>
      <c r="O44" s="7" t="str">
        <f>TEXT(InputData[[#This Row],[DATE]],"MMM")</f>
        <v>Jun</v>
      </c>
      <c r="P44" s="7">
        <f>YEAR(InputData[[#This Row],[DATE]])</f>
        <v>2021</v>
      </c>
      <c r="R44" t="s">
        <v>95</v>
      </c>
      <c r="S44" t="s">
        <v>95</v>
      </c>
      <c r="T44" t="s">
        <v>184</v>
      </c>
      <c r="U44" t="str">
        <f t="shared" si="0"/>
        <v>Chicken</v>
      </c>
    </row>
    <row r="45" spans="1:21" x14ac:dyDescent="0.25">
      <c r="A45" s="3">
        <v>44385</v>
      </c>
      <c r="B45" s="4" t="s">
        <v>14</v>
      </c>
      <c r="C45" s="5">
        <v>10</v>
      </c>
      <c r="D45" s="5" t="s">
        <v>108</v>
      </c>
      <c r="E45" s="5" t="s">
        <v>106</v>
      </c>
      <c r="F45" s="6">
        <v>0</v>
      </c>
      <c r="G45" s="7" t="str">
        <f>VLOOKUP(InputData[[#This Row],[PRODUCT ID]],MasterData[],2,0)</f>
        <v>Sunflower Oil</v>
      </c>
      <c r="H45" s="7" t="str">
        <f>VLOOKUP(InputData[[#This Row],[PRODUCT ID]],MasterData[],3,0)</f>
        <v>Category01</v>
      </c>
      <c r="I45" s="7" t="str">
        <f>VLOOKUP(InputData[[#This Row],[PRODUCT ID]],MasterData[],4,0)</f>
        <v>Lt</v>
      </c>
      <c r="J45" s="7">
        <f>VLOOKUP(InputData[[#This Row],[PRODUCT ID]],MasterData[],5,0)</f>
        <v>44</v>
      </c>
      <c r="K45" s="8">
        <f>VLOOKUP(InputData[[#This Row],[PRODUCT ID]],MasterData[],6,0)</f>
        <v>48.84</v>
      </c>
      <c r="L45" s="8">
        <f>InputData[[#This Row],[BUYING PRIZE]]*InputData[[#This Row],[QUANTITY]]</f>
        <v>440</v>
      </c>
      <c r="M45" s="8">
        <f>InputData[[#This Row],[SELLING PRICE]]*InputData[[#This Row],[QUANTITY]]*(1-InputData[[#This Row],[DISCOUNT %]])</f>
        <v>488.40000000000003</v>
      </c>
      <c r="N45" s="7">
        <f>DAY(InputData[[#This Row],[DATE]])</f>
        <v>8</v>
      </c>
      <c r="O45" s="7" t="str">
        <f>TEXT(InputData[[#This Row],[DATE]],"MMM")</f>
        <v>Jul</v>
      </c>
      <c r="P45" s="7">
        <f>YEAR(InputData[[#This Row],[DATE]])</f>
        <v>2021</v>
      </c>
      <c r="R45" t="s">
        <v>97</v>
      </c>
      <c r="S45" t="s">
        <v>97</v>
      </c>
      <c r="T45" t="s">
        <v>185</v>
      </c>
      <c r="U45" t="str">
        <f t="shared" si="0"/>
        <v>Pork</v>
      </c>
    </row>
    <row r="46" spans="1:21" x14ac:dyDescent="0.25">
      <c r="A46" s="3">
        <v>44495</v>
      </c>
      <c r="B46" s="4" t="s">
        <v>14</v>
      </c>
      <c r="C46" s="5">
        <v>6</v>
      </c>
      <c r="D46" s="5" t="s">
        <v>105</v>
      </c>
      <c r="E46" s="5" t="s">
        <v>107</v>
      </c>
      <c r="F46" s="6">
        <v>0</v>
      </c>
      <c r="G46" s="7" t="str">
        <f>VLOOKUP(InputData[[#This Row],[PRODUCT ID]],MasterData[],2,0)</f>
        <v>Sunflower Oil</v>
      </c>
      <c r="H46" s="7" t="str">
        <f>VLOOKUP(InputData[[#This Row],[PRODUCT ID]],MasterData[],3,0)</f>
        <v>Category01</v>
      </c>
      <c r="I46" s="7" t="str">
        <f>VLOOKUP(InputData[[#This Row],[PRODUCT ID]],MasterData[],4,0)</f>
        <v>Lt</v>
      </c>
      <c r="J46" s="7">
        <f>VLOOKUP(InputData[[#This Row],[PRODUCT ID]],MasterData[],5,0)</f>
        <v>44</v>
      </c>
      <c r="K46" s="8">
        <f>VLOOKUP(InputData[[#This Row],[PRODUCT ID]],MasterData[],6,0)</f>
        <v>48.84</v>
      </c>
      <c r="L46" s="8">
        <f>InputData[[#This Row],[BUYING PRIZE]]*InputData[[#This Row],[QUANTITY]]</f>
        <v>264</v>
      </c>
      <c r="M46" s="8">
        <f>InputData[[#This Row],[SELLING PRICE]]*InputData[[#This Row],[QUANTITY]]*(1-InputData[[#This Row],[DISCOUNT %]])</f>
        <v>293.04000000000002</v>
      </c>
      <c r="N46" s="7">
        <f>DAY(InputData[[#This Row],[DATE]])</f>
        <v>26</v>
      </c>
      <c r="O46" s="7" t="str">
        <f>TEXT(InputData[[#This Row],[DATE]],"MMM")</f>
        <v>Oct</v>
      </c>
      <c r="P46" s="7">
        <f>YEAR(InputData[[#This Row],[DATE]])</f>
        <v>2021</v>
      </c>
      <c r="R46" t="s">
        <v>99</v>
      </c>
      <c r="S46" t="s">
        <v>99</v>
      </c>
      <c r="T46" t="s">
        <v>186</v>
      </c>
      <c r="U46" t="str">
        <f t="shared" si="0"/>
        <v>Grape</v>
      </c>
    </row>
    <row r="47" spans="1:21" x14ac:dyDescent="0.25">
      <c r="A47" s="3">
        <v>44535</v>
      </c>
      <c r="B47" s="4" t="s">
        <v>14</v>
      </c>
      <c r="C47" s="5">
        <v>15</v>
      </c>
      <c r="D47" s="5" t="s">
        <v>108</v>
      </c>
      <c r="E47" s="5" t="s">
        <v>107</v>
      </c>
      <c r="F47" s="6">
        <v>0</v>
      </c>
      <c r="G47" s="7" t="str">
        <f>VLOOKUP(InputData[[#This Row],[PRODUCT ID]],MasterData[],2,0)</f>
        <v>Sunflower Oil</v>
      </c>
      <c r="H47" s="7" t="str">
        <f>VLOOKUP(InputData[[#This Row],[PRODUCT ID]],MasterData[],3,0)</f>
        <v>Category01</v>
      </c>
      <c r="I47" s="7" t="str">
        <f>VLOOKUP(InputData[[#This Row],[PRODUCT ID]],MasterData[],4,0)</f>
        <v>Lt</v>
      </c>
      <c r="J47" s="7">
        <f>VLOOKUP(InputData[[#This Row],[PRODUCT ID]],MasterData[],5,0)</f>
        <v>44</v>
      </c>
      <c r="K47" s="8">
        <f>VLOOKUP(InputData[[#This Row],[PRODUCT ID]],MasterData[],6,0)</f>
        <v>48.84</v>
      </c>
      <c r="L47" s="8">
        <f>InputData[[#This Row],[BUYING PRIZE]]*InputData[[#This Row],[QUANTITY]]</f>
        <v>660</v>
      </c>
      <c r="M47" s="8">
        <f>InputData[[#This Row],[SELLING PRICE]]*InputData[[#This Row],[QUANTITY]]*(1-InputData[[#This Row],[DISCOUNT %]])</f>
        <v>732.6</v>
      </c>
      <c r="N47" s="7">
        <f>DAY(InputData[[#This Row],[DATE]])</f>
        <v>5</v>
      </c>
      <c r="O47" s="7" t="str">
        <f>TEXT(InputData[[#This Row],[DATE]],"MMM")</f>
        <v>Dec</v>
      </c>
      <c r="P47" s="7">
        <f>YEAR(InputData[[#This Row],[DATE]])</f>
        <v>2021</v>
      </c>
    </row>
    <row r="48" spans="1:21" x14ac:dyDescent="0.25">
      <c r="A48" s="3">
        <v>44600</v>
      </c>
      <c r="B48" s="4" t="s">
        <v>14</v>
      </c>
      <c r="C48" s="5">
        <v>3</v>
      </c>
      <c r="D48" s="5" t="s">
        <v>106</v>
      </c>
      <c r="E48" s="5" t="s">
        <v>107</v>
      </c>
      <c r="F48" s="6">
        <v>0</v>
      </c>
      <c r="G48" s="7" t="str">
        <f>VLOOKUP(InputData[[#This Row],[PRODUCT ID]],MasterData[],2,0)</f>
        <v>Sunflower Oil</v>
      </c>
      <c r="H48" s="7" t="str">
        <f>VLOOKUP(InputData[[#This Row],[PRODUCT ID]],MasterData[],3,0)</f>
        <v>Category01</v>
      </c>
      <c r="I48" s="7" t="str">
        <f>VLOOKUP(InputData[[#This Row],[PRODUCT ID]],MasterData[],4,0)</f>
        <v>Lt</v>
      </c>
      <c r="J48" s="7">
        <f>VLOOKUP(InputData[[#This Row],[PRODUCT ID]],MasterData[],5,0)</f>
        <v>44</v>
      </c>
      <c r="K48" s="8">
        <f>VLOOKUP(InputData[[#This Row],[PRODUCT ID]],MasterData[],6,0)</f>
        <v>48.84</v>
      </c>
      <c r="L48" s="8">
        <f>InputData[[#This Row],[BUYING PRIZE]]*InputData[[#This Row],[QUANTITY]]</f>
        <v>132</v>
      </c>
      <c r="M48" s="8">
        <f>InputData[[#This Row],[SELLING PRICE]]*InputData[[#This Row],[QUANTITY]]*(1-InputData[[#This Row],[DISCOUNT %]])</f>
        <v>146.52000000000001</v>
      </c>
      <c r="N48" s="7">
        <f>DAY(InputData[[#This Row],[DATE]])</f>
        <v>8</v>
      </c>
      <c r="O48" s="7" t="str">
        <f>TEXT(InputData[[#This Row],[DATE]],"MMM")</f>
        <v>Feb</v>
      </c>
      <c r="P48" s="7">
        <f>YEAR(InputData[[#This Row],[DATE]])</f>
        <v>2022</v>
      </c>
    </row>
    <row r="49" spans="1:16" x14ac:dyDescent="0.25">
      <c r="A49" s="3">
        <v>44626</v>
      </c>
      <c r="B49" s="4" t="s">
        <v>14</v>
      </c>
      <c r="C49" s="5">
        <v>2</v>
      </c>
      <c r="D49" s="5" t="s">
        <v>108</v>
      </c>
      <c r="E49" s="5" t="s">
        <v>107</v>
      </c>
      <c r="F49" s="6">
        <v>0</v>
      </c>
      <c r="G49" s="7" t="str">
        <f>VLOOKUP(InputData[[#This Row],[PRODUCT ID]],MasterData[],2,0)</f>
        <v>Sunflower Oil</v>
      </c>
      <c r="H49" s="7" t="str">
        <f>VLOOKUP(InputData[[#This Row],[PRODUCT ID]],MasterData[],3,0)</f>
        <v>Category01</v>
      </c>
      <c r="I49" s="7" t="str">
        <f>VLOOKUP(InputData[[#This Row],[PRODUCT ID]],MasterData[],4,0)</f>
        <v>Lt</v>
      </c>
      <c r="J49" s="7">
        <f>VLOOKUP(InputData[[#This Row],[PRODUCT ID]],MasterData[],5,0)</f>
        <v>44</v>
      </c>
      <c r="K49" s="8">
        <f>VLOOKUP(InputData[[#This Row],[PRODUCT ID]],MasterData[],6,0)</f>
        <v>48.84</v>
      </c>
      <c r="L49" s="8">
        <f>InputData[[#This Row],[BUYING PRIZE]]*InputData[[#This Row],[QUANTITY]]</f>
        <v>88</v>
      </c>
      <c r="M49" s="8">
        <f>InputData[[#This Row],[SELLING PRICE]]*InputData[[#This Row],[QUANTITY]]*(1-InputData[[#This Row],[DISCOUNT %]])</f>
        <v>97.68</v>
      </c>
      <c r="N49" s="7">
        <f>DAY(InputData[[#This Row],[DATE]])</f>
        <v>6</v>
      </c>
      <c r="O49" s="7" t="str">
        <f>TEXT(InputData[[#This Row],[DATE]],"MMM")</f>
        <v>Mar</v>
      </c>
      <c r="P49" s="7">
        <f>YEAR(InputData[[#This Row],[DATE]])</f>
        <v>2022</v>
      </c>
    </row>
    <row r="50" spans="1:16" x14ac:dyDescent="0.25">
      <c r="A50" s="3">
        <v>44629</v>
      </c>
      <c r="B50" s="4" t="s">
        <v>14</v>
      </c>
      <c r="C50" s="5">
        <v>11</v>
      </c>
      <c r="D50" s="5" t="s">
        <v>106</v>
      </c>
      <c r="E50" s="5" t="s">
        <v>107</v>
      </c>
      <c r="F50" s="6">
        <v>0</v>
      </c>
      <c r="G50" s="7" t="str">
        <f>VLOOKUP(InputData[[#This Row],[PRODUCT ID]],MasterData[],2,0)</f>
        <v>Sunflower Oil</v>
      </c>
      <c r="H50" s="7" t="str">
        <f>VLOOKUP(InputData[[#This Row],[PRODUCT ID]],MasterData[],3,0)</f>
        <v>Category01</v>
      </c>
      <c r="I50" s="7" t="str">
        <f>VLOOKUP(InputData[[#This Row],[PRODUCT ID]],MasterData[],4,0)</f>
        <v>Lt</v>
      </c>
      <c r="J50" s="7">
        <f>VLOOKUP(InputData[[#This Row],[PRODUCT ID]],MasterData[],5,0)</f>
        <v>44</v>
      </c>
      <c r="K50" s="8">
        <f>VLOOKUP(InputData[[#This Row],[PRODUCT ID]],MasterData[],6,0)</f>
        <v>48.84</v>
      </c>
      <c r="L50" s="8">
        <f>InputData[[#This Row],[BUYING PRIZE]]*InputData[[#This Row],[QUANTITY]]</f>
        <v>484</v>
      </c>
      <c r="M50" s="8">
        <f>InputData[[#This Row],[SELLING PRICE]]*InputData[[#This Row],[QUANTITY]]*(1-InputData[[#This Row],[DISCOUNT %]])</f>
        <v>537.24</v>
      </c>
      <c r="N50" s="7">
        <f>DAY(InputData[[#This Row],[DATE]])</f>
        <v>9</v>
      </c>
      <c r="O50" s="7" t="str">
        <f>TEXT(InputData[[#This Row],[DATE]],"MMM")</f>
        <v>Mar</v>
      </c>
      <c r="P50" s="7">
        <f>YEAR(InputData[[#This Row],[DATE]])</f>
        <v>2022</v>
      </c>
    </row>
    <row r="51" spans="1:16" x14ac:dyDescent="0.25">
      <c r="A51" s="3">
        <v>44676</v>
      </c>
      <c r="B51" s="4" t="s">
        <v>14</v>
      </c>
      <c r="C51" s="5">
        <v>9</v>
      </c>
      <c r="D51" s="5" t="s">
        <v>108</v>
      </c>
      <c r="E51" s="5" t="s">
        <v>107</v>
      </c>
      <c r="F51" s="6">
        <v>0</v>
      </c>
      <c r="G51" s="7" t="str">
        <f>VLOOKUP(InputData[[#This Row],[PRODUCT ID]],MasterData[],2,0)</f>
        <v>Sunflower Oil</v>
      </c>
      <c r="H51" s="7" t="str">
        <f>VLOOKUP(InputData[[#This Row],[PRODUCT ID]],MasterData[],3,0)</f>
        <v>Category01</v>
      </c>
      <c r="I51" s="7" t="str">
        <f>VLOOKUP(InputData[[#This Row],[PRODUCT ID]],MasterData[],4,0)</f>
        <v>Lt</v>
      </c>
      <c r="J51" s="7">
        <f>VLOOKUP(InputData[[#This Row],[PRODUCT ID]],MasterData[],5,0)</f>
        <v>44</v>
      </c>
      <c r="K51" s="8">
        <f>VLOOKUP(InputData[[#This Row],[PRODUCT ID]],MasterData[],6,0)</f>
        <v>48.84</v>
      </c>
      <c r="L51" s="8">
        <f>InputData[[#This Row],[BUYING PRIZE]]*InputData[[#This Row],[QUANTITY]]</f>
        <v>396</v>
      </c>
      <c r="M51" s="8">
        <f>InputData[[#This Row],[SELLING PRICE]]*InputData[[#This Row],[QUANTITY]]*(1-InputData[[#This Row],[DISCOUNT %]])</f>
        <v>439.56000000000006</v>
      </c>
      <c r="N51" s="7">
        <f>DAY(InputData[[#This Row],[DATE]])</f>
        <v>25</v>
      </c>
      <c r="O51" s="7" t="str">
        <f>TEXT(InputData[[#This Row],[DATE]],"MMM")</f>
        <v>Apr</v>
      </c>
      <c r="P51" s="7">
        <f>YEAR(InputData[[#This Row],[DATE]])</f>
        <v>2022</v>
      </c>
    </row>
    <row r="52" spans="1:16" x14ac:dyDescent="0.25">
      <c r="A52" s="3">
        <v>44709</v>
      </c>
      <c r="B52" s="4" t="s">
        <v>14</v>
      </c>
      <c r="C52" s="5">
        <v>12</v>
      </c>
      <c r="D52" s="5" t="s">
        <v>106</v>
      </c>
      <c r="E52" s="5" t="s">
        <v>106</v>
      </c>
      <c r="F52" s="6">
        <v>0</v>
      </c>
      <c r="G52" s="7" t="str">
        <f>VLOOKUP(InputData[[#This Row],[PRODUCT ID]],MasterData[],2,0)</f>
        <v>Sunflower Oil</v>
      </c>
      <c r="H52" s="7" t="str">
        <f>VLOOKUP(InputData[[#This Row],[PRODUCT ID]],MasterData[],3,0)</f>
        <v>Category01</v>
      </c>
      <c r="I52" s="7" t="str">
        <f>VLOOKUP(InputData[[#This Row],[PRODUCT ID]],MasterData[],4,0)</f>
        <v>Lt</v>
      </c>
      <c r="J52" s="7">
        <f>VLOOKUP(InputData[[#This Row],[PRODUCT ID]],MasterData[],5,0)</f>
        <v>44</v>
      </c>
      <c r="K52" s="8">
        <f>VLOOKUP(InputData[[#This Row],[PRODUCT ID]],MasterData[],6,0)</f>
        <v>48.84</v>
      </c>
      <c r="L52" s="8">
        <f>InputData[[#This Row],[BUYING PRIZE]]*InputData[[#This Row],[QUANTITY]]</f>
        <v>528</v>
      </c>
      <c r="M52" s="8">
        <f>InputData[[#This Row],[SELLING PRICE]]*InputData[[#This Row],[QUANTITY]]*(1-InputData[[#This Row],[DISCOUNT %]])</f>
        <v>586.08000000000004</v>
      </c>
      <c r="N52" s="7">
        <f>DAY(InputData[[#This Row],[DATE]])</f>
        <v>28</v>
      </c>
      <c r="O52" s="7" t="str">
        <f>TEXT(InputData[[#This Row],[DATE]],"MMM")</f>
        <v>May</v>
      </c>
      <c r="P52" s="7">
        <f>YEAR(InputData[[#This Row],[DATE]])</f>
        <v>2022</v>
      </c>
    </row>
    <row r="53" spans="1:16" x14ac:dyDescent="0.25">
      <c r="A53" s="3">
        <v>44735</v>
      </c>
      <c r="B53" s="4" t="s">
        <v>14</v>
      </c>
      <c r="C53" s="5">
        <v>8</v>
      </c>
      <c r="D53" s="5" t="s">
        <v>108</v>
      </c>
      <c r="E53" s="5" t="s">
        <v>106</v>
      </c>
      <c r="F53" s="6">
        <v>0</v>
      </c>
      <c r="G53" s="7" t="str">
        <f>VLOOKUP(InputData[[#This Row],[PRODUCT ID]],MasterData[],2,0)</f>
        <v>Sunflower Oil</v>
      </c>
      <c r="H53" s="7" t="str">
        <f>VLOOKUP(InputData[[#This Row],[PRODUCT ID]],MasterData[],3,0)</f>
        <v>Category01</v>
      </c>
      <c r="I53" s="7" t="str">
        <f>VLOOKUP(InputData[[#This Row],[PRODUCT ID]],MasterData[],4,0)</f>
        <v>Lt</v>
      </c>
      <c r="J53" s="7">
        <f>VLOOKUP(InputData[[#This Row],[PRODUCT ID]],MasterData[],5,0)</f>
        <v>44</v>
      </c>
      <c r="K53" s="8">
        <f>VLOOKUP(InputData[[#This Row],[PRODUCT ID]],MasterData[],6,0)</f>
        <v>48.84</v>
      </c>
      <c r="L53" s="8">
        <f>InputData[[#This Row],[BUYING PRIZE]]*InputData[[#This Row],[QUANTITY]]</f>
        <v>352</v>
      </c>
      <c r="M53" s="8">
        <f>InputData[[#This Row],[SELLING PRICE]]*InputData[[#This Row],[QUANTITY]]*(1-InputData[[#This Row],[DISCOUNT %]])</f>
        <v>390.72</v>
      </c>
      <c r="N53" s="7">
        <f>DAY(InputData[[#This Row],[DATE]])</f>
        <v>23</v>
      </c>
      <c r="O53" s="7" t="str">
        <f>TEXT(InputData[[#This Row],[DATE]],"MMM")</f>
        <v>Jun</v>
      </c>
      <c r="P53" s="7">
        <f>YEAR(InputData[[#This Row],[DATE]])</f>
        <v>2022</v>
      </c>
    </row>
    <row r="54" spans="1:16" x14ac:dyDescent="0.25">
      <c r="A54" s="3">
        <v>44757</v>
      </c>
      <c r="B54" s="4" t="s">
        <v>14</v>
      </c>
      <c r="C54" s="5">
        <v>2</v>
      </c>
      <c r="D54" s="5" t="s">
        <v>106</v>
      </c>
      <c r="E54" s="5" t="s">
        <v>106</v>
      </c>
      <c r="F54" s="6">
        <v>0</v>
      </c>
      <c r="G54" s="7" t="str">
        <f>VLOOKUP(InputData[[#This Row],[PRODUCT ID]],MasterData[],2,0)</f>
        <v>Sunflower Oil</v>
      </c>
      <c r="H54" s="7" t="str">
        <f>VLOOKUP(InputData[[#This Row],[PRODUCT ID]],MasterData[],3,0)</f>
        <v>Category01</v>
      </c>
      <c r="I54" s="7" t="str">
        <f>VLOOKUP(InputData[[#This Row],[PRODUCT ID]],MasterData[],4,0)</f>
        <v>Lt</v>
      </c>
      <c r="J54" s="7">
        <f>VLOOKUP(InputData[[#This Row],[PRODUCT ID]],MasterData[],5,0)</f>
        <v>44</v>
      </c>
      <c r="K54" s="8">
        <f>VLOOKUP(InputData[[#This Row],[PRODUCT ID]],MasterData[],6,0)</f>
        <v>48.84</v>
      </c>
      <c r="L54" s="8">
        <f>InputData[[#This Row],[BUYING PRIZE]]*InputData[[#This Row],[QUANTITY]]</f>
        <v>88</v>
      </c>
      <c r="M54" s="8">
        <f>InputData[[#This Row],[SELLING PRICE]]*InputData[[#This Row],[QUANTITY]]*(1-InputData[[#This Row],[DISCOUNT %]])</f>
        <v>97.68</v>
      </c>
      <c r="N54" s="7">
        <f>DAY(InputData[[#This Row],[DATE]])</f>
        <v>15</v>
      </c>
      <c r="O54" s="7" t="str">
        <f>TEXT(InputData[[#This Row],[DATE]],"MMM")</f>
        <v>Jul</v>
      </c>
      <c r="P54" s="7">
        <f>YEAR(InputData[[#This Row],[DATE]])</f>
        <v>2022</v>
      </c>
    </row>
    <row r="55" spans="1:16" x14ac:dyDescent="0.25">
      <c r="A55" s="3">
        <v>44890</v>
      </c>
      <c r="B55" s="4" t="s">
        <v>14</v>
      </c>
      <c r="C55" s="5">
        <v>5</v>
      </c>
      <c r="D55" s="5" t="s">
        <v>108</v>
      </c>
      <c r="E55" s="5" t="s">
        <v>107</v>
      </c>
      <c r="F55" s="6">
        <v>0</v>
      </c>
      <c r="G55" s="7" t="str">
        <f>VLOOKUP(InputData[[#This Row],[PRODUCT ID]],MasterData[],2,0)</f>
        <v>Sunflower Oil</v>
      </c>
      <c r="H55" s="7" t="str">
        <f>VLOOKUP(InputData[[#This Row],[PRODUCT ID]],MasterData[],3,0)</f>
        <v>Category01</v>
      </c>
      <c r="I55" s="7" t="str">
        <f>VLOOKUP(InputData[[#This Row],[PRODUCT ID]],MasterData[],4,0)</f>
        <v>Lt</v>
      </c>
      <c r="J55" s="7">
        <f>VLOOKUP(InputData[[#This Row],[PRODUCT ID]],MasterData[],5,0)</f>
        <v>44</v>
      </c>
      <c r="K55" s="8">
        <f>VLOOKUP(InputData[[#This Row],[PRODUCT ID]],MasterData[],6,0)</f>
        <v>48.84</v>
      </c>
      <c r="L55" s="8">
        <f>InputData[[#This Row],[BUYING PRIZE]]*InputData[[#This Row],[QUANTITY]]</f>
        <v>220</v>
      </c>
      <c r="M55" s="8">
        <f>InputData[[#This Row],[SELLING PRICE]]*InputData[[#This Row],[QUANTITY]]*(1-InputData[[#This Row],[DISCOUNT %]])</f>
        <v>244.20000000000002</v>
      </c>
      <c r="N55" s="7">
        <f>DAY(InputData[[#This Row],[DATE]])</f>
        <v>25</v>
      </c>
      <c r="O55" s="7" t="str">
        <f>TEXT(InputData[[#This Row],[DATE]],"MMM")</f>
        <v>Nov</v>
      </c>
      <c r="P55" s="7">
        <f>YEAR(InputData[[#This Row],[DATE]])</f>
        <v>2022</v>
      </c>
    </row>
    <row r="56" spans="1:16" x14ac:dyDescent="0.25">
      <c r="A56" s="3">
        <v>44232</v>
      </c>
      <c r="B56" s="4" t="s">
        <v>16</v>
      </c>
      <c r="C56" s="5">
        <v>1</v>
      </c>
      <c r="D56" s="5" t="s">
        <v>108</v>
      </c>
      <c r="E56" s="5" t="s">
        <v>107</v>
      </c>
      <c r="F56" s="6">
        <v>0</v>
      </c>
      <c r="G56" s="7" t="str">
        <f>VLOOKUP(InputData[[#This Row],[PRODUCT ID]],MasterData[],2,0)</f>
        <v>Onion</v>
      </c>
      <c r="H56" s="7" t="str">
        <f>VLOOKUP(InputData[[#This Row],[PRODUCT ID]],MasterData[],3,0)</f>
        <v>Category01</v>
      </c>
      <c r="I56" s="7" t="str">
        <f>VLOOKUP(InputData[[#This Row],[PRODUCT ID]],MasterData[],4,0)</f>
        <v>Ft</v>
      </c>
      <c r="J56" s="7">
        <f>VLOOKUP(InputData[[#This Row],[PRODUCT ID]],MasterData[],5,0)</f>
        <v>133</v>
      </c>
      <c r="K56" s="8">
        <f>VLOOKUP(InputData[[#This Row],[PRODUCT ID]],MasterData[],6,0)</f>
        <v>155.61000000000001</v>
      </c>
      <c r="L56" s="8">
        <f>InputData[[#This Row],[BUYING PRIZE]]*InputData[[#This Row],[QUANTITY]]</f>
        <v>133</v>
      </c>
      <c r="M56" s="8">
        <f>InputData[[#This Row],[SELLING PRICE]]*InputData[[#This Row],[QUANTITY]]*(1-InputData[[#This Row],[DISCOUNT %]])</f>
        <v>155.61000000000001</v>
      </c>
      <c r="N56" s="7">
        <f>DAY(InputData[[#This Row],[DATE]])</f>
        <v>5</v>
      </c>
      <c r="O56" s="7" t="str">
        <f>TEXT(InputData[[#This Row],[DATE]],"MMM")</f>
        <v>Feb</v>
      </c>
      <c r="P56" s="7">
        <f>YEAR(InputData[[#This Row],[DATE]])</f>
        <v>2021</v>
      </c>
    </row>
    <row r="57" spans="1:16" x14ac:dyDescent="0.25">
      <c r="A57" s="3">
        <v>44250</v>
      </c>
      <c r="B57" s="4" t="s">
        <v>16</v>
      </c>
      <c r="C57" s="5">
        <v>2</v>
      </c>
      <c r="D57" s="5" t="s">
        <v>108</v>
      </c>
      <c r="E57" s="5" t="s">
        <v>106</v>
      </c>
      <c r="F57" s="6">
        <v>0</v>
      </c>
      <c r="G57" s="7" t="str">
        <f>VLOOKUP(InputData[[#This Row],[PRODUCT ID]],MasterData[],2,0)</f>
        <v>Onion</v>
      </c>
      <c r="H57" s="7" t="str">
        <f>VLOOKUP(InputData[[#This Row],[PRODUCT ID]],MasterData[],3,0)</f>
        <v>Category01</v>
      </c>
      <c r="I57" s="7" t="str">
        <f>VLOOKUP(InputData[[#This Row],[PRODUCT ID]],MasterData[],4,0)</f>
        <v>Ft</v>
      </c>
      <c r="J57" s="7">
        <f>VLOOKUP(InputData[[#This Row],[PRODUCT ID]],MasterData[],5,0)</f>
        <v>133</v>
      </c>
      <c r="K57" s="8">
        <f>VLOOKUP(InputData[[#This Row],[PRODUCT ID]],MasterData[],6,0)</f>
        <v>155.61000000000001</v>
      </c>
      <c r="L57" s="8">
        <f>InputData[[#This Row],[BUYING PRIZE]]*InputData[[#This Row],[QUANTITY]]</f>
        <v>266</v>
      </c>
      <c r="M57" s="8">
        <f>InputData[[#This Row],[SELLING PRICE]]*InputData[[#This Row],[QUANTITY]]*(1-InputData[[#This Row],[DISCOUNT %]])</f>
        <v>311.22000000000003</v>
      </c>
      <c r="N57" s="7">
        <f>DAY(InputData[[#This Row],[DATE]])</f>
        <v>23</v>
      </c>
      <c r="O57" s="7" t="str">
        <f>TEXT(InputData[[#This Row],[DATE]],"MMM")</f>
        <v>Feb</v>
      </c>
      <c r="P57" s="7">
        <f>YEAR(InputData[[#This Row],[DATE]])</f>
        <v>2021</v>
      </c>
    </row>
    <row r="58" spans="1:16" x14ac:dyDescent="0.25">
      <c r="A58" s="3">
        <v>44295</v>
      </c>
      <c r="B58" s="4" t="s">
        <v>16</v>
      </c>
      <c r="C58" s="5">
        <v>3</v>
      </c>
      <c r="D58" s="5" t="s">
        <v>106</v>
      </c>
      <c r="E58" s="5" t="s">
        <v>106</v>
      </c>
      <c r="F58" s="6">
        <v>0</v>
      </c>
      <c r="G58" s="7" t="str">
        <f>VLOOKUP(InputData[[#This Row],[PRODUCT ID]],MasterData[],2,0)</f>
        <v>Onion</v>
      </c>
      <c r="H58" s="7" t="str">
        <f>VLOOKUP(InputData[[#This Row],[PRODUCT ID]],MasterData[],3,0)</f>
        <v>Category01</v>
      </c>
      <c r="I58" s="7" t="str">
        <f>VLOOKUP(InputData[[#This Row],[PRODUCT ID]],MasterData[],4,0)</f>
        <v>Ft</v>
      </c>
      <c r="J58" s="7">
        <f>VLOOKUP(InputData[[#This Row],[PRODUCT ID]],MasterData[],5,0)</f>
        <v>133</v>
      </c>
      <c r="K58" s="8">
        <f>VLOOKUP(InputData[[#This Row],[PRODUCT ID]],MasterData[],6,0)</f>
        <v>155.61000000000001</v>
      </c>
      <c r="L58" s="8">
        <f>InputData[[#This Row],[BUYING PRIZE]]*InputData[[#This Row],[QUANTITY]]</f>
        <v>399</v>
      </c>
      <c r="M58" s="8">
        <f>InputData[[#This Row],[SELLING PRICE]]*InputData[[#This Row],[QUANTITY]]*(1-InputData[[#This Row],[DISCOUNT %]])</f>
        <v>466.83000000000004</v>
      </c>
      <c r="N58" s="7">
        <f>DAY(InputData[[#This Row],[DATE]])</f>
        <v>9</v>
      </c>
      <c r="O58" s="7" t="str">
        <f>TEXT(InputData[[#This Row],[DATE]],"MMM")</f>
        <v>Apr</v>
      </c>
      <c r="P58" s="7">
        <f>YEAR(InputData[[#This Row],[DATE]])</f>
        <v>2021</v>
      </c>
    </row>
    <row r="59" spans="1:16" x14ac:dyDescent="0.25">
      <c r="A59" s="3">
        <v>44374</v>
      </c>
      <c r="B59" s="4" t="s">
        <v>16</v>
      </c>
      <c r="C59" s="5">
        <v>11</v>
      </c>
      <c r="D59" s="5" t="s">
        <v>108</v>
      </c>
      <c r="E59" s="5" t="s">
        <v>107</v>
      </c>
      <c r="F59" s="6">
        <v>0</v>
      </c>
      <c r="G59" s="7" t="str">
        <f>VLOOKUP(InputData[[#This Row],[PRODUCT ID]],MasterData[],2,0)</f>
        <v>Onion</v>
      </c>
      <c r="H59" s="7" t="str">
        <f>VLOOKUP(InputData[[#This Row],[PRODUCT ID]],MasterData[],3,0)</f>
        <v>Category01</v>
      </c>
      <c r="I59" s="7" t="str">
        <f>VLOOKUP(InputData[[#This Row],[PRODUCT ID]],MasterData[],4,0)</f>
        <v>Ft</v>
      </c>
      <c r="J59" s="7">
        <f>VLOOKUP(InputData[[#This Row],[PRODUCT ID]],MasterData[],5,0)</f>
        <v>133</v>
      </c>
      <c r="K59" s="8">
        <f>VLOOKUP(InputData[[#This Row],[PRODUCT ID]],MasterData[],6,0)</f>
        <v>155.61000000000001</v>
      </c>
      <c r="L59" s="8">
        <f>InputData[[#This Row],[BUYING PRIZE]]*InputData[[#This Row],[QUANTITY]]</f>
        <v>1463</v>
      </c>
      <c r="M59" s="8">
        <f>InputData[[#This Row],[SELLING PRICE]]*InputData[[#This Row],[QUANTITY]]*(1-InputData[[#This Row],[DISCOUNT %]])</f>
        <v>1711.71</v>
      </c>
      <c r="N59" s="7">
        <f>DAY(InputData[[#This Row],[DATE]])</f>
        <v>27</v>
      </c>
      <c r="O59" s="7" t="str">
        <f>TEXT(InputData[[#This Row],[DATE]],"MMM")</f>
        <v>Jun</v>
      </c>
      <c r="P59" s="7">
        <f>YEAR(InputData[[#This Row],[DATE]])</f>
        <v>2021</v>
      </c>
    </row>
    <row r="60" spans="1:16" x14ac:dyDescent="0.25">
      <c r="A60" s="3">
        <v>44378</v>
      </c>
      <c r="B60" s="4" t="s">
        <v>16</v>
      </c>
      <c r="C60" s="5">
        <v>11</v>
      </c>
      <c r="D60" s="5" t="s">
        <v>108</v>
      </c>
      <c r="E60" s="5" t="s">
        <v>107</v>
      </c>
      <c r="F60" s="6">
        <v>0</v>
      </c>
      <c r="G60" s="7" t="str">
        <f>VLOOKUP(InputData[[#This Row],[PRODUCT ID]],MasterData[],2,0)</f>
        <v>Onion</v>
      </c>
      <c r="H60" s="7" t="str">
        <f>VLOOKUP(InputData[[#This Row],[PRODUCT ID]],MasterData[],3,0)</f>
        <v>Category01</v>
      </c>
      <c r="I60" s="7" t="str">
        <f>VLOOKUP(InputData[[#This Row],[PRODUCT ID]],MasterData[],4,0)</f>
        <v>Ft</v>
      </c>
      <c r="J60" s="7">
        <f>VLOOKUP(InputData[[#This Row],[PRODUCT ID]],MasterData[],5,0)</f>
        <v>133</v>
      </c>
      <c r="K60" s="8">
        <f>VLOOKUP(InputData[[#This Row],[PRODUCT ID]],MasterData[],6,0)</f>
        <v>155.61000000000001</v>
      </c>
      <c r="L60" s="8">
        <f>InputData[[#This Row],[BUYING PRIZE]]*InputData[[#This Row],[QUANTITY]]</f>
        <v>1463</v>
      </c>
      <c r="M60" s="8">
        <f>InputData[[#This Row],[SELLING PRICE]]*InputData[[#This Row],[QUANTITY]]*(1-InputData[[#This Row],[DISCOUNT %]])</f>
        <v>1711.71</v>
      </c>
      <c r="N60" s="7">
        <f>DAY(InputData[[#This Row],[DATE]])</f>
        <v>1</v>
      </c>
      <c r="O60" s="7" t="str">
        <f>TEXT(InputData[[#This Row],[DATE]],"MMM")</f>
        <v>Jul</v>
      </c>
      <c r="P60" s="7">
        <f>YEAR(InputData[[#This Row],[DATE]])</f>
        <v>2021</v>
      </c>
    </row>
    <row r="61" spans="1:16" x14ac:dyDescent="0.25">
      <c r="A61" s="3">
        <v>44418</v>
      </c>
      <c r="B61" s="4" t="s">
        <v>16</v>
      </c>
      <c r="C61" s="5">
        <v>4</v>
      </c>
      <c r="D61" s="5" t="s">
        <v>105</v>
      </c>
      <c r="E61" s="5" t="s">
        <v>107</v>
      </c>
      <c r="F61" s="6">
        <v>0</v>
      </c>
      <c r="G61" s="7" t="str">
        <f>VLOOKUP(InputData[[#This Row],[PRODUCT ID]],MasterData[],2,0)</f>
        <v>Onion</v>
      </c>
      <c r="H61" s="7" t="str">
        <f>VLOOKUP(InputData[[#This Row],[PRODUCT ID]],MasterData[],3,0)</f>
        <v>Category01</v>
      </c>
      <c r="I61" s="7" t="str">
        <f>VLOOKUP(InputData[[#This Row],[PRODUCT ID]],MasterData[],4,0)</f>
        <v>Ft</v>
      </c>
      <c r="J61" s="7">
        <f>VLOOKUP(InputData[[#This Row],[PRODUCT ID]],MasterData[],5,0)</f>
        <v>133</v>
      </c>
      <c r="K61" s="8">
        <f>VLOOKUP(InputData[[#This Row],[PRODUCT ID]],MasterData[],6,0)</f>
        <v>155.61000000000001</v>
      </c>
      <c r="L61" s="8">
        <f>InputData[[#This Row],[BUYING PRIZE]]*InputData[[#This Row],[QUANTITY]]</f>
        <v>532</v>
      </c>
      <c r="M61" s="8">
        <f>InputData[[#This Row],[SELLING PRICE]]*InputData[[#This Row],[QUANTITY]]*(1-InputData[[#This Row],[DISCOUNT %]])</f>
        <v>622.44000000000005</v>
      </c>
      <c r="N61" s="7">
        <f>DAY(InputData[[#This Row],[DATE]])</f>
        <v>10</v>
      </c>
      <c r="O61" s="7" t="str">
        <f>TEXT(InputData[[#This Row],[DATE]],"MMM")</f>
        <v>Aug</v>
      </c>
      <c r="P61" s="7">
        <f>YEAR(InputData[[#This Row],[DATE]])</f>
        <v>2021</v>
      </c>
    </row>
    <row r="62" spans="1:16" x14ac:dyDescent="0.25">
      <c r="A62" s="3">
        <v>44593</v>
      </c>
      <c r="B62" s="4" t="s">
        <v>16</v>
      </c>
      <c r="C62" s="5">
        <v>9</v>
      </c>
      <c r="D62" s="5" t="s">
        <v>108</v>
      </c>
      <c r="E62" s="5" t="s">
        <v>107</v>
      </c>
      <c r="F62" s="6">
        <v>0</v>
      </c>
      <c r="G62" s="7" t="str">
        <f>VLOOKUP(InputData[[#This Row],[PRODUCT ID]],MasterData[],2,0)</f>
        <v>Onion</v>
      </c>
      <c r="H62" s="7" t="str">
        <f>VLOOKUP(InputData[[#This Row],[PRODUCT ID]],MasterData[],3,0)</f>
        <v>Category01</v>
      </c>
      <c r="I62" s="7" t="str">
        <f>VLOOKUP(InputData[[#This Row],[PRODUCT ID]],MasterData[],4,0)</f>
        <v>Ft</v>
      </c>
      <c r="J62" s="7">
        <f>VLOOKUP(InputData[[#This Row],[PRODUCT ID]],MasterData[],5,0)</f>
        <v>133</v>
      </c>
      <c r="K62" s="8">
        <f>VLOOKUP(InputData[[#This Row],[PRODUCT ID]],MasterData[],6,0)</f>
        <v>155.61000000000001</v>
      </c>
      <c r="L62" s="8">
        <f>InputData[[#This Row],[BUYING PRIZE]]*InputData[[#This Row],[QUANTITY]]</f>
        <v>1197</v>
      </c>
      <c r="M62" s="8">
        <f>InputData[[#This Row],[SELLING PRICE]]*InputData[[#This Row],[QUANTITY]]*(1-InputData[[#This Row],[DISCOUNT %]])</f>
        <v>1400.4900000000002</v>
      </c>
      <c r="N62" s="7">
        <f>DAY(InputData[[#This Row],[DATE]])</f>
        <v>1</v>
      </c>
      <c r="O62" s="7" t="str">
        <f>TEXT(InputData[[#This Row],[DATE]],"MMM")</f>
        <v>Feb</v>
      </c>
      <c r="P62" s="7">
        <f>YEAR(InputData[[#This Row],[DATE]])</f>
        <v>2022</v>
      </c>
    </row>
    <row r="63" spans="1:16" x14ac:dyDescent="0.25">
      <c r="A63" s="3">
        <v>44600</v>
      </c>
      <c r="B63" s="4" t="s">
        <v>16</v>
      </c>
      <c r="C63" s="5">
        <v>11</v>
      </c>
      <c r="D63" s="5" t="s">
        <v>106</v>
      </c>
      <c r="E63" s="5" t="s">
        <v>107</v>
      </c>
      <c r="F63" s="6">
        <v>0</v>
      </c>
      <c r="G63" s="7" t="str">
        <f>VLOOKUP(InputData[[#This Row],[PRODUCT ID]],MasterData[],2,0)</f>
        <v>Onion</v>
      </c>
      <c r="H63" s="7" t="str">
        <f>VLOOKUP(InputData[[#This Row],[PRODUCT ID]],MasterData[],3,0)</f>
        <v>Category01</v>
      </c>
      <c r="I63" s="7" t="str">
        <f>VLOOKUP(InputData[[#This Row],[PRODUCT ID]],MasterData[],4,0)</f>
        <v>Ft</v>
      </c>
      <c r="J63" s="7">
        <f>VLOOKUP(InputData[[#This Row],[PRODUCT ID]],MasterData[],5,0)</f>
        <v>133</v>
      </c>
      <c r="K63" s="8">
        <f>VLOOKUP(InputData[[#This Row],[PRODUCT ID]],MasterData[],6,0)</f>
        <v>155.61000000000001</v>
      </c>
      <c r="L63" s="8">
        <f>InputData[[#This Row],[BUYING PRIZE]]*InputData[[#This Row],[QUANTITY]]</f>
        <v>1463</v>
      </c>
      <c r="M63" s="8">
        <f>InputData[[#This Row],[SELLING PRICE]]*InputData[[#This Row],[QUANTITY]]*(1-InputData[[#This Row],[DISCOUNT %]])</f>
        <v>1711.71</v>
      </c>
      <c r="N63" s="7">
        <f>DAY(InputData[[#This Row],[DATE]])</f>
        <v>8</v>
      </c>
      <c r="O63" s="7" t="str">
        <f>TEXT(InputData[[#This Row],[DATE]],"MMM")</f>
        <v>Feb</v>
      </c>
      <c r="P63" s="7">
        <f>YEAR(InputData[[#This Row],[DATE]])</f>
        <v>2022</v>
      </c>
    </row>
    <row r="64" spans="1:16" x14ac:dyDescent="0.25">
      <c r="A64" s="3">
        <v>44619</v>
      </c>
      <c r="B64" s="4" t="s">
        <v>16</v>
      </c>
      <c r="C64" s="5">
        <v>15</v>
      </c>
      <c r="D64" s="5" t="s">
        <v>108</v>
      </c>
      <c r="E64" s="5" t="s">
        <v>106</v>
      </c>
      <c r="F64" s="6">
        <v>0</v>
      </c>
      <c r="G64" s="7" t="str">
        <f>VLOOKUP(InputData[[#This Row],[PRODUCT ID]],MasterData[],2,0)</f>
        <v>Onion</v>
      </c>
      <c r="H64" s="7" t="str">
        <f>VLOOKUP(InputData[[#This Row],[PRODUCT ID]],MasterData[],3,0)</f>
        <v>Category01</v>
      </c>
      <c r="I64" s="7" t="str">
        <f>VLOOKUP(InputData[[#This Row],[PRODUCT ID]],MasterData[],4,0)</f>
        <v>Ft</v>
      </c>
      <c r="J64" s="7">
        <f>VLOOKUP(InputData[[#This Row],[PRODUCT ID]],MasterData[],5,0)</f>
        <v>133</v>
      </c>
      <c r="K64" s="8">
        <f>VLOOKUP(InputData[[#This Row],[PRODUCT ID]],MasterData[],6,0)</f>
        <v>155.61000000000001</v>
      </c>
      <c r="L64" s="8">
        <f>InputData[[#This Row],[BUYING PRIZE]]*InputData[[#This Row],[QUANTITY]]</f>
        <v>1995</v>
      </c>
      <c r="M64" s="8">
        <f>InputData[[#This Row],[SELLING PRICE]]*InputData[[#This Row],[QUANTITY]]*(1-InputData[[#This Row],[DISCOUNT %]])</f>
        <v>2334.15</v>
      </c>
      <c r="N64" s="7">
        <f>DAY(InputData[[#This Row],[DATE]])</f>
        <v>27</v>
      </c>
      <c r="O64" s="7" t="str">
        <f>TEXT(InputData[[#This Row],[DATE]],"MMM")</f>
        <v>Feb</v>
      </c>
      <c r="P64" s="7">
        <f>YEAR(InputData[[#This Row],[DATE]])</f>
        <v>2022</v>
      </c>
    </row>
    <row r="65" spans="1:16" x14ac:dyDescent="0.25">
      <c r="A65" s="3">
        <v>44711</v>
      </c>
      <c r="B65" s="4" t="s">
        <v>16</v>
      </c>
      <c r="C65" s="5">
        <v>4</v>
      </c>
      <c r="D65" s="5" t="s">
        <v>105</v>
      </c>
      <c r="E65" s="5" t="s">
        <v>107</v>
      </c>
      <c r="F65" s="6">
        <v>0</v>
      </c>
      <c r="G65" s="7" t="str">
        <f>VLOOKUP(InputData[[#This Row],[PRODUCT ID]],MasterData[],2,0)</f>
        <v>Onion</v>
      </c>
      <c r="H65" s="7" t="str">
        <f>VLOOKUP(InputData[[#This Row],[PRODUCT ID]],MasterData[],3,0)</f>
        <v>Category01</v>
      </c>
      <c r="I65" s="7" t="str">
        <f>VLOOKUP(InputData[[#This Row],[PRODUCT ID]],MasterData[],4,0)</f>
        <v>Ft</v>
      </c>
      <c r="J65" s="7">
        <f>VLOOKUP(InputData[[#This Row],[PRODUCT ID]],MasterData[],5,0)</f>
        <v>133</v>
      </c>
      <c r="K65" s="8">
        <f>VLOOKUP(InputData[[#This Row],[PRODUCT ID]],MasterData[],6,0)</f>
        <v>155.61000000000001</v>
      </c>
      <c r="L65" s="8">
        <f>InputData[[#This Row],[BUYING PRIZE]]*InputData[[#This Row],[QUANTITY]]</f>
        <v>532</v>
      </c>
      <c r="M65" s="8">
        <f>InputData[[#This Row],[SELLING PRICE]]*InputData[[#This Row],[QUANTITY]]*(1-InputData[[#This Row],[DISCOUNT %]])</f>
        <v>622.44000000000005</v>
      </c>
      <c r="N65" s="7">
        <f>DAY(InputData[[#This Row],[DATE]])</f>
        <v>30</v>
      </c>
      <c r="O65" s="7" t="str">
        <f>TEXT(InputData[[#This Row],[DATE]],"MMM")</f>
        <v>May</v>
      </c>
      <c r="P65" s="7">
        <f>YEAR(InputData[[#This Row],[DATE]])</f>
        <v>2022</v>
      </c>
    </row>
    <row r="66" spans="1:16" x14ac:dyDescent="0.25">
      <c r="A66" s="3">
        <v>44797</v>
      </c>
      <c r="B66" s="4" t="s">
        <v>16</v>
      </c>
      <c r="C66" s="5">
        <v>5</v>
      </c>
      <c r="D66" s="5" t="s">
        <v>108</v>
      </c>
      <c r="E66" s="5" t="s">
        <v>107</v>
      </c>
      <c r="F66" s="6">
        <v>0</v>
      </c>
      <c r="G66" s="7" t="str">
        <f>VLOOKUP(InputData[[#This Row],[PRODUCT ID]],MasterData[],2,0)</f>
        <v>Onion</v>
      </c>
      <c r="H66" s="7" t="str">
        <f>VLOOKUP(InputData[[#This Row],[PRODUCT ID]],MasterData[],3,0)</f>
        <v>Category01</v>
      </c>
      <c r="I66" s="7" t="str">
        <f>VLOOKUP(InputData[[#This Row],[PRODUCT ID]],MasterData[],4,0)</f>
        <v>Ft</v>
      </c>
      <c r="J66" s="7">
        <f>VLOOKUP(InputData[[#This Row],[PRODUCT ID]],MasterData[],5,0)</f>
        <v>133</v>
      </c>
      <c r="K66" s="8">
        <f>VLOOKUP(InputData[[#This Row],[PRODUCT ID]],MasterData[],6,0)</f>
        <v>155.61000000000001</v>
      </c>
      <c r="L66" s="8">
        <f>InputData[[#This Row],[BUYING PRIZE]]*InputData[[#This Row],[QUANTITY]]</f>
        <v>665</v>
      </c>
      <c r="M66" s="8">
        <f>InputData[[#This Row],[SELLING PRICE]]*InputData[[#This Row],[QUANTITY]]*(1-InputData[[#This Row],[DISCOUNT %]])</f>
        <v>778.05000000000007</v>
      </c>
      <c r="N66" s="7">
        <f>DAY(InputData[[#This Row],[DATE]])</f>
        <v>24</v>
      </c>
      <c r="O66" s="7" t="str">
        <f>TEXT(InputData[[#This Row],[DATE]],"MMM")</f>
        <v>Aug</v>
      </c>
      <c r="P66" s="7">
        <f>YEAR(InputData[[#This Row],[DATE]])</f>
        <v>2022</v>
      </c>
    </row>
    <row r="67" spans="1:16" x14ac:dyDescent="0.25">
      <c r="A67" s="3">
        <v>44801</v>
      </c>
      <c r="B67" s="4" t="s">
        <v>16</v>
      </c>
      <c r="C67" s="5">
        <v>9</v>
      </c>
      <c r="D67" s="5" t="s">
        <v>106</v>
      </c>
      <c r="E67" s="5" t="s">
        <v>106</v>
      </c>
      <c r="F67" s="6">
        <v>0</v>
      </c>
      <c r="G67" s="7" t="str">
        <f>VLOOKUP(InputData[[#This Row],[PRODUCT ID]],MasterData[],2,0)</f>
        <v>Onion</v>
      </c>
      <c r="H67" s="7" t="str">
        <f>VLOOKUP(InputData[[#This Row],[PRODUCT ID]],MasterData[],3,0)</f>
        <v>Category01</v>
      </c>
      <c r="I67" s="7" t="str">
        <f>VLOOKUP(InputData[[#This Row],[PRODUCT ID]],MasterData[],4,0)</f>
        <v>Ft</v>
      </c>
      <c r="J67" s="7">
        <f>VLOOKUP(InputData[[#This Row],[PRODUCT ID]],MasterData[],5,0)</f>
        <v>133</v>
      </c>
      <c r="K67" s="8">
        <f>VLOOKUP(InputData[[#This Row],[PRODUCT ID]],MasterData[],6,0)</f>
        <v>155.61000000000001</v>
      </c>
      <c r="L67" s="8">
        <f>InputData[[#This Row],[BUYING PRIZE]]*InputData[[#This Row],[QUANTITY]]</f>
        <v>1197</v>
      </c>
      <c r="M67" s="8">
        <f>InputData[[#This Row],[SELLING PRICE]]*InputData[[#This Row],[QUANTITY]]*(1-InputData[[#This Row],[DISCOUNT %]])</f>
        <v>1400.4900000000002</v>
      </c>
      <c r="N67" s="7">
        <f>DAY(InputData[[#This Row],[DATE]])</f>
        <v>28</v>
      </c>
      <c r="O67" s="7" t="str">
        <f>TEXT(InputData[[#This Row],[DATE]],"MMM")</f>
        <v>Aug</v>
      </c>
      <c r="P67" s="7">
        <f>YEAR(InputData[[#This Row],[DATE]])</f>
        <v>2022</v>
      </c>
    </row>
    <row r="68" spans="1:16" x14ac:dyDescent="0.25">
      <c r="A68" s="3">
        <v>44810</v>
      </c>
      <c r="B68" s="4" t="s">
        <v>16</v>
      </c>
      <c r="C68" s="5">
        <v>12</v>
      </c>
      <c r="D68" s="5" t="s">
        <v>105</v>
      </c>
      <c r="E68" s="5" t="s">
        <v>106</v>
      </c>
      <c r="F68" s="6">
        <v>0</v>
      </c>
      <c r="G68" s="7" t="str">
        <f>VLOOKUP(InputData[[#This Row],[PRODUCT ID]],MasterData[],2,0)</f>
        <v>Onion</v>
      </c>
      <c r="H68" s="7" t="str">
        <f>VLOOKUP(InputData[[#This Row],[PRODUCT ID]],MasterData[],3,0)</f>
        <v>Category01</v>
      </c>
      <c r="I68" s="7" t="str">
        <f>VLOOKUP(InputData[[#This Row],[PRODUCT ID]],MasterData[],4,0)</f>
        <v>Ft</v>
      </c>
      <c r="J68" s="7">
        <f>VLOOKUP(InputData[[#This Row],[PRODUCT ID]],MasterData[],5,0)</f>
        <v>133</v>
      </c>
      <c r="K68" s="8">
        <f>VLOOKUP(InputData[[#This Row],[PRODUCT ID]],MasterData[],6,0)</f>
        <v>155.61000000000001</v>
      </c>
      <c r="L68" s="8">
        <f>InputData[[#This Row],[BUYING PRIZE]]*InputData[[#This Row],[QUANTITY]]</f>
        <v>1596</v>
      </c>
      <c r="M68" s="8">
        <f>InputData[[#This Row],[SELLING PRICE]]*InputData[[#This Row],[QUANTITY]]*(1-InputData[[#This Row],[DISCOUNT %]])</f>
        <v>1867.3200000000002</v>
      </c>
      <c r="N68" s="7">
        <f>DAY(InputData[[#This Row],[DATE]])</f>
        <v>6</v>
      </c>
      <c r="O68" s="7" t="str">
        <f>TEXT(InputData[[#This Row],[DATE]],"MMM")</f>
        <v>Sep</v>
      </c>
      <c r="P68" s="7">
        <f>YEAR(InputData[[#This Row],[DATE]])</f>
        <v>2022</v>
      </c>
    </row>
    <row r="69" spans="1:16" x14ac:dyDescent="0.25">
      <c r="A69" s="3">
        <v>44909</v>
      </c>
      <c r="B69" s="4" t="s">
        <v>16</v>
      </c>
      <c r="C69" s="5">
        <v>4</v>
      </c>
      <c r="D69" s="5" t="s">
        <v>108</v>
      </c>
      <c r="E69" s="5" t="s">
        <v>107</v>
      </c>
      <c r="F69" s="6">
        <v>0</v>
      </c>
      <c r="G69" s="7" t="str">
        <f>VLOOKUP(InputData[[#This Row],[PRODUCT ID]],MasterData[],2,0)</f>
        <v>Onion</v>
      </c>
      <c r="H69" s="7" t="str">
        <f>VLOOKUP(InputData[[#This Row],[PRODUCT ID]],MasterData[],3,0)</f>
        <v>Category01</v>
      </c>
      <c r="I69" s="7" t="str">
        <f>VLOOKUP(InputData[[#This Row],[PRODUCT ID]],MasterData[],4,0)</f>
        <v>Ft</v>
      </c>
      <c r="J69" s="7">
        <f>VLOOKUP(InputData[[#This Row],[PRODUCT ID]],MasterData[],5,0)</f>
        <v>133</v>
      </c>
      <c r="K69" s="8">
        <f>VLOOKUP(InputData[[#This Row],[PRODUCT ID]],MasterData[],6,0)</f>
        <v>155.61000000000001</v>
      </c>
      <c r="L69" s="8">
        <f>InputData[[#This Row],[BUYING PRIZE]]*InputData[[#This Row],[QUANTITY]]</f>
        <v>532</v>
      </c>
      <c r="M69" s="8">
        <f>InputData[[#This Row],[SELLING PRICE]]*InputData[[#This Row],[QUANTITY]]*(1-InputData[[#This Row],[DISCOUNT %]])</f>
        <v>622.44000000000005</v>
      </c>
      <c r="N69" s="7">
        <f>DAY(InputData[[#This Row],[DATE]])</f>
        <v>14</v>
      </c>
      <c r="O69" s="7" t="str">
        <f>TEXT(InputData[[#This Row],[DATE]],"MMM")</f>
        <v>Dec</v>
      </c>
      <c r="P69" s="7">
        <f>YEAR(InputData[[#This Row],[DATE]])</f>
        <v>2022</v>
      </c>
    </row>
    <row r="70" spans="1:16" x14ac:dyDescent="0.25">
      <c r="A70" s="3">
        <v>44222</v>
      </c>
      <c r="B70" s="4" t="s">
        <v>18</v>
      </c>
      <c r="C70" s="5">
        <v>7</v>
      </c>
      <c r="D70" s="5" t="s">
        <v>106</v>
      </c>
      <c r="E70" s="5" t="s">
        <v>107</v>
      </c>
      <c r="F70" s="6">
        <v>0</v>
      </c>
      <c r="G70" s="7" t="str">
        <f>VLOOKUP(InputData[[#This Row],[PRODUCT ID]],MasterData[],2,0)</f>
        <v>Tomato</v>
      </c>
      <c r="H70" s="7" t="str">
        <f>VLOOKUP(InputData[[#This Row],[PRODUCT ID]],MasterData[],3,0)</f>
        <v>Category01</v>
      </c>
      <c r="I70" s="7" t="str">
        <f>VLOOKUP(InputData[[#This Row],[PRODUCT ID]],MasterData[],4,0)</f>
        <v>Kg</v>
      </c>
      <c r="J70" s="7">
        <f>VLOOKUP(InputData[[#This Row],[PRODUCT ID]],MasterData[],5,0)</f>
        <v>75</v>
      </c>
      <c r="K70" s="8">
        <f>VLOOKUP(InputData[[#This Row],[PRODUCT ID]],MasterData[],6,0)</f>
        <v>85.5</v>
      </c>
      <c r="L70" s="8">
        <f>InputData[[#This Row],[BUYING PRIZE]]*InputData[[#This Row],[QUANTITY]]</f>
        <v>525</v>
      </c>
      <c r="M70" s="8">
        <f>InputData[[#This Row],[SELLING PRICE]]*InputData[[#This Row],[QUANTITY]]*(1-InputData[[#This Row],[DISCOUNT %]])</f>
        <v>598.5</v>
      </c>
      <c r="N70" s="7">
        <f>DAY(InputData[[#This Row],[DATE]])</f>
        <v>26</v>
      </c>
      <c r="O70" s="7" t="str">
        <f>TEXT(InputData[[#This Row],[DATE]],"MMM")</f>
        <v>Jan</v>
      </c>
      <c r="P70" s="7">
        <f>YEAR(InputData[[#This Row],[DATE]])</f>
        <v>2021</v>
      </c>
    </row>
    <row r="71" spans="1:16" x14ac:dyDescent="0.25">
      <c r="A71" s="3">
        <v>44280</v>
      </c>
      <c r="B71" s="4" t="s">
        <v>18</v>
      </c>
      <c r="C71" s="5">
        <v>4</v>
      </c>
      <c r="D71" s="5" t="s">
        <v>108</v>
      </c>
      <c r="E71" s="5" t="s">
        <v>107</v>
      </c>
      <c r="F71" s="6">
        <v>0</v>
      </c>
      <c r="G71" s="7" t="str">
        <f>VLOOKUP(InputData[[#This Row],[PRODUCT ID]],MasterData[],2,0)</f>
        <v>Tomato</v>
      </c>
      <c r="H71" s="7" t="str">
        <f>VLOOKUP(InputData[[#This Row],[PRODUCT ID]],MasterData[],3,0)</f>
        <v>Category01</v>
      </c>
      <c r="I71" s="7" t="str">
        <f>VLOOKUP(InputData[[#This Row],[PRODUCT ID]],MasterData[],4,0)</f>
        <v>Kg</v>
      </c>
      <c r="J71" s="7">
        <f>VLOOKUP(InputData[[#This Row],[PRODUCT ID]],MasterData[],5,0)</f>
        <v>75</v>
      </c>
      <c r="K71" s="8">
        <f>VLOOKUP(InputData[[#This Row],[PRODUCT ID]],MasterData[],6,0)</f>
        <v>85.5</v>
      </c>
      <c r="L71" s="8">
        <f>InputData[[#This Row],[BUYING PRIZE]]*InputData[[#This Row],[QUANTITY]]</f>
        <v>300</v>
      </c>
      <c r="M71" s="8">
        <f>InputData[[#This Row],[SELLING PRICE]]*InputData[[#This Row],[QUANTITY]]*(1-InputData[[#This Row],[DISCOUNT %]])</f>
        <v>342</v>
      </c>
      <c r="N71" s="7">
        <f>DAY(InputData[[#This Row],[DATE]])</f>
        <v>25</v>
      </c>
      <c r="O71" s="7" t="str">
        <f>TEXT(InputData[[#This Row],[DATE]],"MMM")</f>
        <v>Mar</v>
      </c>
      <c r="P71" s="7">
        <f>YEAR(InputData[[#This Row],[DATE]])</f>
        <v>2021</v>
      </c>
    </row>
    <row r="72" spans="1:16" x14ac:dyDescent="0.25">
      <c r="A72" s="3">
        <v>44418</v>
      </c>
      <c r="B72" s="4" t="s">
        <v>18</v>
      </c>
      <c r="C72" s="5">
        <v>6</v>
      </c>
      <c r="D72" s="5" t="s">
        <v>108</v>
      </c>
      <c r="E72" s="5" t="s">
        <v>107</v>
      </c>
      <c r="F72" s="6">
        <v>0</v>
      </c>
      <c r="G72" s="7" t="str">
        <f>VLOOKUP(InputData[[#This Row],[PRODUCT ID]],MasterData[],2,0)</f>
        <v>Tomato</v>
      </c>
      <c r="H72" s="7" t="str">
        <f>VLOOKUP(InputData[[#This Row],[PRODUCT ID]],MasterData[],3,0)</f>
        <v>Category01</v>
      </c>
      <c r="I72" s="7" t="str">
        <f>VLOOKUP(InputData[[#This Row],[PRODUCT ID]],MasterData[],4,0)</f>
        <v>Kg</v>
      </c>
      <c r="J72" s="7">
        <f>VLOOKUP(InputData[[#This Row],[PRODUCT ID]],MasterData[],5,0)</f>
        <v>75</v>
      </c>
      <c r="K72" s="8">
        <f>VLOOKUP(InputData[[#This Row],[PRODUCT ID]],MasterData[],6,0)</f>
        <v>85.5</v>
      </c>
      <c r="L72" s="8">
        <f>InputData[[#This Row],[BUYING PRIZE]]*InputData[[#This Row],[QUANTITY]]</f>
        <v>450</v>
      </c>
      <c r="M72" s="8">
        <f>InputData[[#This Row],[SELLING PRICE]]*InputData[[#This Row],[QUANTITY]]*(1-InputData[[#This Row],[DISCOUNT %]])</f>
        <v>513</v>
      </c>
      <c r="N72" s="7">
        <f>DAY(InputData[[#This Row],[DATE]])</f>
        <v>10</v>
      </c>
      <c r="O72" s="7" t="str">
        <f>TEXT(InputData[[#This Row],[DATE]],"MMM")</f>
        <v>Aug</v>
      </c>
      <c r="P72" s="7">
        <f>YEAR(InputData[[#This Row],[DATE]])</f>
        <v>2021</v>
      </c>
    </row>
    <row r="73" spans="1:16" x14ac:dyDescent="0.25">
      <c r="A73" s="3">
        <v>44469</v>
      </c>
      <c r="B73" s="4" t="s">
        <v>18</v>
      </c>
      <c r="C73" s="5">
        <v>5</v>
      </c>
      <c r="D73" s="5" t="s">
        <v>106</v>
      </c>
      <c r="E73" s="5" t="s">
        <v>106</v>
      </c>
      <c r="F73" s="6">
        <v>0</v>
      </c>
      <c r="G73" s="7" t="str">
        <f>VLOOKUP(InputData[[#This Row],[PRODUCT ID]],MasterData[],2,0)</f>
        <v>Tomato</v>
      </c>
      <c r="H73" s="7" t="str">
        <f>VLOOKUP(InputData[[#This Row],[PRODUCT ID]],MasterData[],3,0)</f>
        <v>Category01</v>
      </c>
      <c r="I73" s="7" t="str">
        <f>VLOOKUP(InputData[[#This Row],[PRODUCT ID]],MasterData[],4,0)</f>
        <v>Kg</v>
      </c>
      <c r="J73" s="7">
        <f>VLOOKUP(InputData[[#This Row],[PRODUCT ID]],MasterData[],5,0)</f>
        <v>75</v>
      </c>
      <c r="K73" s="8">
        <f>VLOOKUP(InputData[[#This Row],[PRODUCT ID]],MasterData[],6,0)</f>
        <v>85.5</v>
      </c>
      <c r="L73" s="8">
        <f>InputData[[#This Row],[BUYING PRIZE]]*InputData[[#This Row],[QUANTITY]]</f>
        <v>375</v>
      </c>
      <c r="M73" s="8">
        <f>InputData[[#This Row],[SELLING PRICE]]*InputData[[#This Row],[QUANTITY]]*(1-InputData[[#This Row],[DISCOUNT %]])</f>
        <v>427.5</v>
      </c>
      <c r="N73" s="7">
        <f>DAY(InputData[[#This Row],[DATE]])</f>
        <v>30</v>
      </c>
      <c r="O73" s="7" t="str">
        <f>TEXT(InputData[[#This Row],[DATE]],"MMM")</f>
        <v>Sep</v>
      </c>
      <c r="P73" s="7">
        <f>YEAR(InputData[[#This Row],[DATE]])</f>
        <v>2021</v>
      </c>
    </row>
    <row r="74" spans="1:16" x14ac:dyDescent="0.25">
      <c r="A74" s="3">
        <v>44521</v>
      </c>
      <c r="B74" s="4" t="s">
        <v>18</v>
      </c>
      <c r="C74" s="5">
        <v>1</v>
      </c>
      <c r="D74" s="5" t="s">
        <v>106</v>
      </c>
      <c r="E74" s="5" t="s">
        <v>107</v>
      </c>
      <c r="F74" s="6">
        <v>0</v>
      </c>
      <c r="G74" s="7" t="str">
        <f>VLOOKUP(InputData[[#This Row],[PRODUCT ID]],MasterData[],2,0)</f>
        <v>Tomato</v>
      </c>
      <c r="H74" s="7" t="str">
        <f>VLOOKUP(InputData[[#This Row],[PRODUCT ID]],MasterData[],3,0)</f>
        <v>Category01</v>
      </c>
      <c r="I74" s="7" t="str">
        <f>VLOOKUP(InputData[[#This Row],[PRODUCT ID]],MasterData[],4,0)</f>
        <v>Kg</v>
      </c>
      <c r="J74" s="7">
        <f>VLOOKUP(InputData[[#This Row],[PRODUCT ID]],MasterData[],5,0)</f>
        <v>75</v>
      </c>
      <c r="K74" s="8">
        <f>VLOOKUP(InputData[[#This Row],[PRODUCT ID]],MasterData[],6,0)</f>
        <v>85.5</v>
      </c>
      <c r="L74" s="8">
        <f>InputData[[#This Row],[BUYING PRIZE]]*InputData[[#This Row],[QUANTITY]]</f>
        <v>75</v>
      </c>
      <c r="M74" s="8">
        <f>InputData[[#This Row],[SELLING PRICE]]*InputData[[#This Row],[QUANTITY]]*(1-InputData[[#This Row],[DISCOUNT %]])</f>
        <v>85.5</v>
      </c>
      <c r="N74" s="7">
        <f>DAY(InputData[[#This Row],[DATE]])</f>
        <v>21</v>
      </c>
      <c r="O74" s="7" t="str">
        <f>TEXT(InputData[[#This Row],[DATE]],"MMM")</f>
        <v>Nov</v>
      </c>
      <c r="P74" s="7">
        <f>YEAR(InputData[[#This Row],[DATE]])</f>
        <v>2021</v>
      </c>
    </row>
    <row r="75" spans="1:16" x14ac:dyDescent="0.25">
      <c r="A75" s="3">
        <v>44766</v>
      </c>
      <c r="B75" s="4" t="s">
        <v>18</v>
      </c>
      <c r="C75" s="5">
        <v>14</v>
      </c>
      <c r="D75" s="5" t="s">
        <v>108</v>
      </c>
      <c r="E75" s="5" t="s">
        <v>107</v>
      </c>
      <c r="F75" s="6">
        <v>0</v>
      </c>
      <c r="G75" s="7" t="str">
        <f>VLOOKUP(InputData[[#This Row],[PRODUCT ID]],MasterData[],2,0)</f>
        <v>Tomato</v>
      </c>
      <c r="H75" s="7" t="str">
        <f>VLOOKUP(InputData[[#This Row],[PRODUCT ID]],MasterData[],3,0)</f>
        <v>Category01</v>
      </c>
      <c r="I75" s="7" t="str">
        <f>VLOOKUP(InputData[[#This Row],[PRODUCT ID]],MasterData[],4,0)</f>
        <v>Kg</v>
      </c>
      <c r="J75" s="7">
        <f>VLOOKUP(InputData[[#This Row],[PRODUCT ID]],MasterData[],5,0)</f>
        <v>75</v>
      </c>
      <c r="K75" s="8">
        <f>VLOOKUP(InputData[[#This Row],[PRODUCT ID]],MasterData[],6,0)</f>
        <v>85.5</v>
      </c>
      <c r="L75" s="8">
        <f>InputData[[#This Row],[BUYING PRIZE]]*InputData[[#This Row],[QUANTITY]]</f>
        <v>1050</v>
      </c>
      <c r="M75" s="8">
        <f>InputData[[#This Row],[SELLING PRICE]]*InputData[[#This Row],[QUANTITY]]*(1-InputData[[#This Row],[DISCOUNT %]])</f>
        <v>1197</v>
      </c>
      <c r="N75" s="7">
        <f>DAY(InputData[[#This Row],[DATE]])</f>
        <v>24</v>
      </c>
      <c r="O75" s="7" t="str">
        <f>TEXT(InputData[[#This Row],[DATE]],"MMM")</f>
        <v>Jul</v>
      </c>
      <c r="P75" s="7">
        <f>YEAR(InputData[[#This Row],[DATE]])</f>
        <v>2022</v>
      </c>
    </row>
    <row r="76" spans="1:16" x14ac:dyDescent="0.25">
      <c r="A76" s="3">
        <v>44803</v>
      </c>
      <c r="B76" s="4" t="s">
        <v>18</v>
      </c>
      <c r="C76" s="5">
        <v>6</v>
      </c>
      <c r="D76" s="5" t="s">
        <v>106</v>
      </c>
      <c r="E76" s="5" t="s">
        <v>107</v>
      </c>
      <c r="F76" s="6">
        <v>0</v>
      </c>
      <c r="G76" s="7" t="str">
        <f>VLOOKUP(InputData[[#This Row],[PRODUCT ID]],MasterData[],2,0)</f>
        <v>Tomato</v>
      </c>
      <c r="H76" s="7" t="str">
        <f>VLOOKUP(InputData[[#This Row],[PRODUCT ID]],MasterData[],3,0)</f>
        <v>Category01</v>
      </c>
      <c r="I76" s="7" t="str">
        <f>VLOOKUP(InputData[[#This Row],[PRODUCT ID]],MasterData[],4,0)</f>
        <v>Kg</v>
      </c>
      <c r="J76" s="7">
        <f>VLOOKUP(InputData[[#This Row],[PRODUCT ID]],MasterData[],5,0)</f>
        <v>75</v>
      </c>
      <c r="K76" s="8">
        <f>VLOOKUP(InputData[[#This Row],[PRODUCT ID]],MasterData[],6,0)</f>
        <v>85.5</v>
      </c>
      <c r="L76" s="8">
        <f>InputData[[#This Row],[BUYING PRIZE]]*InputData[[#This Row],[QUANTITY]]</f>
        <v>450</v>
      </c>
      <c r="M76" s="8">
        <f>InputData[[#This Row],[SELLING PRICE]]*InputData[[#This Row],[QUANTITY]]*(1-InputData[[#This Row],[DISCOUNT %]])</f>
        <v>513</v>
      </c>
      <c r="N76" s="7">
        <f>DAY(InputData[[#This Row],[DATE]])</f>
        <v>30</v>
      </c>
      <c r="O76" s="7" t="str">
        <f>TEXT(InputData[[#This Row],[DATE]],"MMM")</f>
        <v>Aug</v>
      </c>
      <c r="P76" s="7">
        <f>YEAR(InputData[[#This Row],[DATE]])</f>
        <v>2022</v>
      </c>
    </row>
    <row r="77" spans="1:16" x14ac:dyDescent="0.25">
      <c r="A77" s="3">
        <v>44916</v>
      </c>
      <c r="B77" s="4" t="s">
        <v>18</v>
      </c>
      <c r="C77" s="5">
        <v>10</v>
      </c>
      <c r="D77" s="5" t="s">
        <v>108</v>
      </c>
      <c r="E77" s="5" t="s">
        <v>106</v>
      </c>
      <c r="F77" s="6">
        <v>0</v>
      </c>
      <c r="G77" s="7" t="str">
        <f>VLOOKUP(InputData[[#This Row],[PRODUCT ID]],MasterData[],2,0)</f>
        <v>Tomato</v>
      </c>
      <c r="H77" s="7" t="str">
        <f>VLOOKUP(InputData[[#This Row],[PRODUCT ID]],MasterData[],3,0)</f>
        <v>Category01</v>
      </c>
      <c r="I77" s="7" t="str">
        <f>VLOOKUP(InputData[[#This Row],[PRODUCT ID]],MasterData[],4,0)</f>
        <v>Kg</v>
      </c>
      <c r="J77" s="7">
        <f>VLOOKUP(InputData[[#This Row],[PRODUCT ID]],MasterData[],5,0)</f>
        <v>75</v>
      </c>
      <c r="K77" s="8">
        <f>VLOOKUP(InputData[[#This Row],[PRODUCT ID]],MasterData[],6,0)</f>
        <v>85.5</v>
      </c>
      <c r="L77" s="8">
        <f>InputData[[#This Row],[BUYING PRIZE]]*InputData[[#This Row],[QUANTITY]]</f>
        <v>750</v>
      </c>
      <c r="M77" s="8">
        <f>InputData[[#This Row],[SELLING PRICE]]*InputData[[#This Row],[QUANTITY]]*(1-InputData[[#This Row],[DISCOUNT %]])</f>
        <v>855</v>
      </c>
      <c r="N77" s="7">
        <f>DAY(InputData[[#This Row],[DATE]])</f>
        <v>21</v>
      </c>
      <c r="O77" s="7" t="str">
        <f>TEXT(InputData[[#This Row],[DATE]],"MMM")</f>
        <v>Dec</v>
      </c>
      <c r="P77" s="7">
        <f>YEAR(InputData[[#This Row],[DATE]])</f>
        <v>2022</v>
      </c>
    </row>
    <row r="78" spans="1:16" x14ac:dyDescent="0.25">
      <c r="A78" s="3">
        <v>44283</v>
      </c>
      <c r="B78" s="4" t="s">
        <v>20</v>
      </c>
      <c r="C78" s="5">
        <v>8</v>
      </c>
      <c r="D78" s="5" t="s">
        <v>106</v>
      </c>
      <c r="E78" s="5" t="s">
        <v>107</v>
      </c>
      <c r="F78" s="6">
        <v>0</v>
      </c>
      <c r="G78" s="7" t="str">
        <f>VLOOKUP(InputData[[#This Row],[PRODUCT ID]],MasterData[],2,0)</f>
        <v>Palm Oil</v>
      </c>
      <c r="H78" s="7" t="str">
        <f>VLOOKUP(InputData[[#This Row],[PRODUCT ID]],MasterData[],3,0)</f>
        <v>Category01</v>
      </c>
      <c r="I78" s="7" t="str">
        <f>VLOOKUP(InputData[[#This Row],[PRODUCT ID]],MasterData[],4,0)</f>
        <v>Lt</v>
      </c>
      <c r="J78" s="7">
        <f>VLOOKUP(InputData[[#This Row],[PRODUCT ID]],MasterData[],5,0)</f>
        <v>43</v>
      </c>
      <c r="K78" s="8">
        <f>VLOOKUP(InputData[[#This Row],[PRODUCT ID]],MasterData[],6,0)</f>
        <v>47.730000000000004</v>
      </c>
      <c r="L78" s="8">
        <f>InputData[[#This Row],[BUYING PRIZE]]*InputData[[#This Row],[QUANTITY]]</f>
        <v>344</v>
      </c>
      <c r="M78" s="8">
        <f>InputData[[#This Row],[SELLING PRICE]]*InputData[[#This Row],[QUANTITY]]*(1-InputData[[#This Row],[DISCOUNT %]])</f>
        <v>381.84000000000003</v>
      </c>
      <c r="N78" s="7">
        <f>DAY(InputData[[#This Row],[DATE]])</f>
        <v>28</v>
      </c>
      <c r="O78" s="7" t="str">
        <f>TEXT(InputData[[#This Row],[DATE]],"MMM")</f>
        <v>Mar</v>
      </c>
      <c r="P78" s="7">
        <f>YEAR(InputData[[#This Row],[DATE]])</f>
        <v>2021</v>
      </c>
    </row>
    <row r="79" spans="1:16" x14ac:dyDescent="0.25">
      <c r="A79" s="3">
        <v>44508</v>
      </c>
      <c r="B79" s="4" t="s">
        <v>20</v>
      </c>
      <c r="C79" s="5">
        <v>15</v>
      </c>
      <c r="D79" s="5" t="s">
        <v>108</v>
      </c>
      <c r="E79" s="5" t="s">
        <v>106</v>
      </c>
      <c r="F79" s="6">
        <v>0</v>
      </c>
      <c r="G79" s="7" t="str">
        <f>VLOOKUP(InputData[[#This Row],[PRODUCT ID]],MasterData[],2,0)</f>
        <v>Palm Oil</v>
      </c>
      <c r="H79" s="7" t="str">
        <f>VLOOKUP(InputData[[#This Row],[PRODUCT ID]],MasterData[],3,0)</f>
        <v>Category01</v>
      </c>
      <c r="I79" s="7" t="str">
        <f>VLOOKUP(InputData[[#This Row],[PRODUCT ID]],MasterData[],4,0)</f>
        <v>Lt</v>
      </c>
      <c r="J79" s="7">
        <f>VLOOKUP(InputData[[#This Row],[PRODUCT ID]],MasterData[],5,0)</f>
        <v>43</v>
      </c>
      <c r="K79" s="8">
        <f>VLOOKUP(InputData[[#This Row],[PRODUCT ID]],MasterData[],6,0)</f>
        <v>47.730000000000004</v>
      </c>
      <c r="L79" s="8">
        <f>InputData[[#This Row],[BUYING PRIZE]]*InputData[[#This Row],[QUANTITY]]</f>
        <v>645</v>
      </c>
      <c r="M79" s="8">
        <f>InputData[[#This Row],[SELLING PRICE]]*InputData[[#This Row],[QUANTITY]]*(1-InputData[[#This Row],[DISCOUNT %]])</f>
        <v>715.95</v>
      </c>
      <c r="N79" s="7">
        <f>DAY(InputData[[#This Row],[DATE]])</f>
        <v>8</v>
      </c>
      <c r="O79" s="7" t="str">
        <f>TEXT(InputData[[#This Row],[DATE]],"MMM")</f>
        <v>Nov</v>
      </c>
      <c r="P79" s="7">
        <f>YEAR(InputData[[#This Row],[DATE]])</f>
        <v>2021</v>
      </c>
    </row>
    <row r="80" spans="1:16" x14ac:dyDescent="0.25">
      <c r="A80" s="3">
        <v>44746</v>
      </c>
      <c r="B80" s="4" t="s">
        <v>20</v>
      </c>
      <c r="C80" s="5">
        <v>7</v>
      </c>
      <c r="D80" s="5" t="s">
        <v>108</v>
      </c>
      <c r="E80" s="5" t="s">
        <v>106</v>
      </c>
      <c r="F80" s="6">
        <v>0</v>
      </c>
      <c r="G80" s="7" t="str">
        <f>VLOOKUP(InputData[[#This Row],[PRODUCT ID]],MasterData[],2,0)</f>
        <v>Palm Oil</v>
      </c>
      <c r="H80" s="7" t="str">
        <f>VLOOKUP(InputData[[#This Row],[PRODUCT ID]],MasterData[],3,0)</f>
        <v>Category01</v>
      </c>
      <c r="I80" s="7" t="str">
        <f>VLOOKUP(InputData[[#This Row],[PRODUCT ID]],MasterData[],4,0)</f>
        <v>Lt</v>
      </c>
      <c r="J80" s="7">
        <f>VLOOKUP(InputData[[#This Row],[PRODUCT ID]],MasterData[],5,0)</f>
        <v>43</v>
      </c>
      <c r="K80" s="8">
        <f>VLOOKUP(InputData[[#This Row],[PRODUCT ID]],MasterData[],6,0)</f>
        <v>47.730000000000004</v>
      </c>
      <c r="L80" s="8">
        <f>InputData[[#This Row],[BUYING PRIZE]]*InputData[[#This Row],[QUANTITY]]</f>
        <v>301</v>
      </c>
      <c r="M80" s="8">
        <f>InputData[[#This Row],[SELLING PRICE]]*InputData[[#This Row],[QUANTITY]]*(1-InputData[[#This Row],[DISCOUNT %]])</f>
        <v>334.11</v>
      </c>
      <c r="N80" s="7">
        <f>DAY(InputData[[#This Row],[DATE]])</f>
        <v>4</v>
      </c>
      <c r="O80" s="7" t="str">
        <f>TEXT(InputData[[#This Row],[DATE]],"MMM")</f>
        <v>Jul</v>
      </c>
      <c r="P80" s="7">
        <f>YEAR(InputData[[#This Row],[DATE]])</f>
        <v>2022</v>
      </c>
    </row>
    <row r="81" spans="1:16" x14ac:dyDescent="0.25">
      <c r="A81" s="3">
        <v>44792</v>
      </c>
      <c r="B81" s="4" t="s">
        <v>20</v>
      </c>
      <c r="C81" s="5">
        <v>3</v>
      </c>
      <c r="D81" s="5" t="s">
        <v>106</v>
      </c>
      <c r="E81" s="5" t="s">
        <v>106</v>
      </c>
      <c r="F81" s="6">
        <v>0</v>
      </c>
      <c r="G81" s="7" t="str">
        <f>VLOOKUP(InputData[[#This Row],[PRODUCT ID]],MasterData[],2,0)</f>
        <v>Palm Oil</v>
      </c>
      <c r="H81" s="7" t="str">
        <f>VLOOKUP(InputData[[#This Row],[PRODUCT ID]],MasterData[],3,0)</f>
        <v>Category01</v>
      </c>
      <c r="I81" s="7" t="str">
        <f>VLOOKUP(InputData[[#This Row],[PRODUCT ID]],MasterData[],4,0)</f>
        <v>Lt</v>
      </c>
      <c r="J81" s="7">
        <f>VLOOKUP(InputData[[#This Row],[PRODUCT ID]],MasterData[],5,0)</f>
        <v>43</v>
      </c>
      <c r="K81" s="8">
        <f>VLOOKUP(InputData[[#This Row],[PRODUCT ID]],MasterData[],6,0)</f>
        <v>47.730000000000004</v>
      </c>
      <c r="L81" s="8">
        <f>InputData[[#This Row],[BUYING PRIZE]]*InputData[[#This Row],[QUANTITY]]</f>
        <v>129</v>
      </c>
      <c r="M81" s="8">
        <f>InputData[[#This Row],[SELLING PRICE]]*InputData[[#This Row],[QUANTITY]]*(1-InputData[[#This Row],[DISCOUNT %]])</f>
        <v>143.19</v>
      </c>
      <c r="N81" s="7">
        <f>DAY(InputData[[#This Row],[DATE]])</f>
        <v>19</v>
      </c>
      <c r="O81" s="7" t="str">
        <f>TEXT(InputData[[#This Row],[DATE]],"MMM")</f>
        <v>Aug</v>
      </c>
      <c r="P81" s="7">
        <f>YEAR(InputData[[#This Row],[DATE]])</f>
        <v>2022</v>
      </c>
    </row>
    <row r="82" spans="1:16" x14ac:dyDescent="0.25">
      <c r="A82" s="3">
        <v>44838</v>
      </c>
      <c r="B82" s="4" t="s">
        <v>20</v>
      </c>
      <c r="C82" s="5">
        <v>15</v>
      </c>
      <c r="D82" s="5" t="s">
        <v>108</v>
      </c>
      <c r="E82" s="5" t="s">
        <v>106</v>
      </c>
      <c r="F82" s="6">
        <v>0</v>
      </c>
      <c r="G82" s="7" t="str">
        <f>VLOOKUP(InputData[[#This Row],[PRODUCT ID]],MasterData[],2,0)</f>
        <v>Palm Oil</v>
      </c>
      <c r="H82" s="7" t="str">
        <f>VLOOKUP(InputData[[#This Row],[PRODUCT ID]],MasterData[],3,0)</f>
        <v>Category01</v>
      </c>
      <c r="I82" s="7" t="str">
        <f>VLOOKUP(InputData[[#This Row],[PRODUCT ID]],MasterData[],4,0)</f>
        <v>Lt</v>
      </c>
      <c r="J82" s="7">
        <f>VLOOKUP(InputData[[#This Row],[PRODUCT ID]],MasterData[],5,0)</f>
        <v>43</v>
      </c>
      <c r="K82" s="8">
        <f>VLOOKUP(InputData[[#This Row],[PRODUCT ID]],MasterData[],6,0)</f>
        <v>47.730000000000004</v>
      </c>
      <c r="L82" s="8">
        <f>InputData[[#This Row],[BUYING PRIZE]]*InputData[[#This Row],[QUANTITY]]</f>
        <v>645</v>
      </c>
      <c r="M82" s="8">
        <f>InputData[[#This Row],[SELLING PRICE]]*InputData[[#This Row],[QUANTITY]]*(1-InputData[[#This Row],[DISCOUNT %]])</f>
        <v>715.95</v>
      </c>
      <c r="N82" s="7">
        <f>DAY(InputData[[#This Row],[DATE]])</f>
        <v>4</v>
      </c>
      <c r="O82" s="7" t="str">
        <f>TEXT(InputData[[#This Row],[DATE]],"MMM")</f>
        <v>Oct</v>
      </c>
      <c r="P82" s="7">
        <f>YEAR(InputData[[#This Row],[DATE]])</f>
        <v>2022</v>
      </c>
    </row>
    <row r="83" spans="1:16" x14ac:dyDescent="0.25">
      <c r="A83" s="3">
        <v>44239</v>
      </c>
      <c r="B83" s="4" t="s">
        <v>22</v>
      </c>
      <c r="C83" s="5">
        <v>7</v>
      </c>
      <c r="D83" s="5" t="s">
        <v>108</v>
      </c>
      <c r="E83" s="5" t="s">
        <v>107</v>
      </c>
      <c r="F83" s="6">
        <v>0</v>
      </c>
      <c r="G83" s="7" t="str">
        <f>VLOOKUP(InputData[[#This Row],[PRODUCT ID]],MasterData[],2,0)</f>
        <v>Potato</v>
      </c>
      <c r="H83" s="7" t="str">
        <f>VLOOKUP(InputData[[#This Row],[PRODUCT ID]],MasterData[],3,0)</f>
        <v>Category01</v>
      </c>
      <c r="I83" s="7" t="str">
        <f>VLOOKUP(InputData[[#This Row],[PRODUCT ID]],MasterData[],4,0)</f>
        <v>Kg</v>
      </c>
      <c r="J83" s="7">
        <f>VLOOKUP(InputData[[#This Row],[PRODUCT ID]],MasterData[],5,0)</f>
        <v>83</v>
      </c>
      <c r="K83" s="8">
        <f>VLOOKUP(InputData[[#This Row],[PRODUCT ID]],MasterData[],6,0)</f>
        <v>94.62</v>
      </c>
      <c r="L83" s="8">
        <f>InputData[[#This Row],[BUYING PRIZE]]*InputData[[#This Row],[QUANTITY]]</f>
        <v>581</v>
      </c>
      <c r="M83" s="8">
        <f>InputData[[#This Row],[SELLING PRICE]]*InputData[[#This Row],[QUANTITY]]*(1-InputData[[#This Row],[DISCOUNT %]])</f>
        <v>662.34</v>
      </c>
      <c r="N83" s="7">
        <f>DAY(InputData[[#This Row],[DATE]])</f>
        <v>12</v>
      </c>
      <c r="O83" s="7" t="str">
        <f>TEXT(InputData[[#This Row],[DATE]],"MMM")</f>
        <v>Feb</v>
      </c>
      <c r="P83" s="7">
        <f>YEAR(InputData[[#This Row],[DATE]])</f>
        <v>2021</v>
      </c>
    </row>
    <row r="84" spans="1:16" x14ac:dyDescent="0.25">
      <c r="A84" s="3">
        <v>44322</v>
      </c>
      <c r="B84" s="4" t="s">
        <v>22</v>
      </c>
      <c r="C84" s="5">
        <v>15</v>
      </c>
      <c r="D84" s="5" t="s">
        <v>108</v>
      </c>
      <c r="E84" s="5" t="s">
        <v>106</v>
      </c>
      <c r="F84" s="6">
        <v>0</v>
      </c>
      <c r="G84" s="7" t="str">
        <f>VLOOKUP(InputData[[#This Row],[PRODUCT ID]],MasterData[],2,0)</f>
        <v>Potato</v>
      </c>
      <c r="H84" s="7" t="str">
        <f>VLOOKUP(InputData[[#This Row],[PRODUCT ID]],MasterData[],3,0)</f>
        <v>Category01</v>
      </c>
      <c r="I84" s="7" t="str">
        <f>VLOOKUP(InputData[[#This Row],[PRODUCT ID]],MasterData[],4,0)</f>
        <v>Kg</v>
      </c>
      <c r="J84" s="7">
        <f>VLOOKUP(InputData[[#This Row],[PRODUCT ID]],MasterData[],5,0)</f>
        <v>83</v>
      </c>
      <c r="K84" s="8">
        <f>VLOOKUP(InputData[[#This Row],[PRODUCT ID]],MasterData[],6,0)</f>
        <v>94.62</v>
      </c>
      <c r="L84" s="8">
        <f>InputData[[#This Row],[BUYING PRIZE]]*InputData[[#This Row],[QUANTITY]]</f>
        <v>1245</v>
      </c>
      <c r="M84" s="8">
        <f>InputData[[#This Row],[SELLING PRICE]]*InputData[[#This Row],[QUANTITY]]*(1-InputData[[#This Row],[DISCOUNT %]])</f>
        <v>1419.3000000000002</v>
      </c>
      <c r="N84" s="7">
        <f>DAY(InputData[[#This Row],[DATE]])</f>
        <v>6</v>
      </c>
      <c r="O84" s="7" t="str">
        <f>TEXT(InputData[[#This Row],[DATE]],"MMM")</f>
        <v>May</v>
      </c>
      <c r="P84" s="7">
        <f>YEAR(InputData[[#This Row],[DATE]])</f>
        <v>2021</v>
      </c>
    </row>
    <row r="85" spans="1:16" x14ac:dyDescent="0.25">
      <c r="A85" s="3">
        <v>44497</v>
      </c>
      <c r="B85" s="4" t="s">
        <v>22</v>
      </c>
      <c r="C85" s="5">
        <v>1</v>
      </c>
      <c r="D85" s="5" t="s">
        <v>108</v>
      </c>
      <c r="E85" s="5" t="s">
        <v>107</v>
      </c>
      <c r="F85" s="6">
        <v>0</v>
      </c>
      <c r="G85" s="7" t="str">
        <f>VLOOKUP(InputData[[#This Row],[PRODUCT ID]],MasterData[],2,0)</f>
        <v>Potato</v>
      </c>
      <c r="H85" s="7" t="str">
        <f>VLOOKUP(InputData[[#This Row],[PRODUCT ID]],MasterData[],3,0)</f>
        <v>Category01</v>
      </c>
      <c r="I85" s="7" t="str">
        <f>VLOOKUP(InputData[[#This Row],[PRODUCT ID]],MasterData[],4,0)</f>
        <v>Kg</v>
      </c>
      <c r="J85" s="7">
        <f>VLOOKUP(InputData[[#This Row],[PRODUCT ID]],MasterData[],5,0)</f>
        <v>83</v>
      </c>
      <c r="K85" s="8">
        <f>VLOOKUP(InputData[[#This Row],[PRODUCT ID]],MasterData[],6,0)</f>
        <v>94.62</v>
      </c>
      <c r="L85" s="8">
        <f>InputData[[#This Row],[BUYING PRIZE]]*InputData[[#This Row],[QUANTITY]]</f>
        <v>83</v>
      </c>
      <c r="M85" s="8">
        <f>InputData[[#This Row],[SELLING PRICE]]*InputData[[#This Row],[QUANTITY]]*(1-InputData[[#This Row],[DISCOUNT %]])</f>
        <v>94.62</v>
      </c>
      <c r="N85" s="7">
        <f>DAY(InputData[[#This Row],[DATE]])</f>
        <v>28</v>
      </c>
      <c r="O85" s="7" t="str">
        <f>TEXT(InputData[[#This Row],[DATE]],"MMM")</f>
        <v>Oct</v>
      </c>
      <c r="P85" s="7">
        <f>YEAR(InputData[[#This Row],[DATE]])</f>
        <v>2021</v>
      </c>
    </row>
    <row r="86" spans="1:16" x14ac:dyDescent="0.25">
      <c r="A86" s="3">
        <v>44520</v>
      </c>
      <c r="B86" s="4" t="s">
        <v>22</v>
      </c>
      <c r="C86" s="5">
        <v>11</v>
      </c>
      <c r="D86" s="5" t="s">
        <v>106</v>
      </c>
      <c r="E86" s="5" t="s">
        <v>107</v>
      </c>
      <c r="F86" s="6">
        <v>0</v>
      </c>
      <c r="G86" s="7" t="str">
        <f>VLOOKUP(InputData[[#This Row],[PRODUCT ID]],MasterData[],2,0)</f>
        <v>Potato</v>
      </c>
      <c r="H86" s="7" t="str">
        <f>VLOOKUP(InputData[[#This Row],[PRODUCT ID]],MasterData[],3,0)</f>
        <v>Category01</v>
      </c>
      <c r="I86" s="7" t="str">
        <f>VLOOKUP(InputData[[#This Row],[PRODUCT ID]],MasterData[],4,0)</f>
        <v>Kg</v>
      </c>
      <c r="J86" s="7">
        <f>VLOOKUP(InputData[[#This Row],[PRODUCT ID]],MasterData[],5,0)</f>
        <v>83</v>
      </c>
      <c r="K86" s="8">
        <f>VLOOKUP(InputData[[#This Row],[PRODUCT ID]],MasterData[],6,0)</f>
        <v>94.62</v>
      </c>
      <c r="L86" s="8">
        <f>InputData[[#This Row],[BUYING PRIZE]]*InputData[[#This Row],[QUANTITY]]</f>
        <v>913</v>
      </c>
      <c r="M86" s="8">
        <f>InputData[[#This Row],[SELLING PRICE]]*InputData[[#This Row],[QUANTITY]]*(1-InputData[[#This Row],[DISCOUNT %]])</f>
        <v>1040.8200000000002</v>
      </c>
      <c r="N86" s="7">
        <f>DAY(InputData[[#This Row],[DATE]])</f>
        <v>20</v>
      </c>
      <c r="O86" s="7" t="str">
        <f>TEXT(InputData[[#This Row],[DATE]],"MMM")</f>
        <v>Nov</v>
      </c>
      <c r="P86" s="7">
        <f>YEAR(InputData[[#This Row],[DATE]])</f>
        <v>2021</v>
      </c>
    </row>
    <row r="87" spans="1:16" x14ac:dyDescent="0.25">
      <c r="A87" s="3">
        <v>44579</v>
      </c>
      <c r="B87" s="4" t="s">
        <v>22</v>
      </c>
      <c r="C87" s="5">
        <v>9</v>
      </c>
      <c r="D87" s="5" t="s">
        <v>105</v>
      </c>
      <c r="E87" s="5" t="s">
        <v>107</v>
      </c>
      <c r="F87" s="6">
        <v>0</v>
      </c>
      <c r="G87" s="7" t="str">
        <f>VLOOKUP(InputData[[#This Row],[PRODUCT ID]],MasterData[],2,0)</f>
        <v>Potato</v>
      </c>
      <c r="H87" s="7" t="str">
        <f>VLOOKUP(InputData[[#This Row],[PRODUCT ID]],MasterData[],3,0)</f>
        <v>Category01</v>
      </c>
      <c r="I87" s="7" t="str">
        <f>VLOOKUP(InputData[[#This Row],[PRODUCT ID]],MasterData[],4,0)</f>
        <v>Kg</v>
      </c>
      <c r="J87" s="7">
        <f>VLOOKUP(InputData[[#This Row],[PRODUCT ID]],MasterData[],5,0)</f>
        <v>83</v>
      </c>
      <c r="K87" s="8">
        <f>VLOOKUP(InputData[[#This Row],[PRODUCT ID]],MasterData[],6,0)</f>
        <v>94.62</v>
      </c>
      <c r="L87" s="8">
        <f>InputData[[#This Row],[BUYING PRIZE]]*InputData[[#This Row],[QUANTITY]]</f>
        <v>747</v>
      </c>
      <c r="M87" s="8">
        <f>InputData[[#This Row],[SELLING PRICE]]*InputData[[#This Row],[QUANTITY]]*(1-InputData[[#This Row],[DISCOUNT %]])</f>
        <v>851.58</v>
      </c>
      <c r="N87" s="7">
        <f>DAY(InputData[[#This Row],[DATE]])</f>
        <v>18</v>
      </c>
      <c r="O87" s="7" t="str">
        <f>TEXT(InputData[[#This Row],[DATE]],"MMM")</f>
        <v>Jan</v>
      </c>
      <c r="P87" s="7">
        <f>YEAR(InputData[[#This Row],[DATE]])</f>
        <v>2022</v>
      </c>
    </row>
    <row r="88" spans="1:16" x14ac:dyDescent="0.25">
      <c r="A88" s="3">
        <v>44695</v>
      </c>
      <c r="B88" s="4" t="s">
        <v>22</v>
      </c>
      <c r="C88" s="5">
        <v>14</v>
      </c>
      <c r="D88" s="5" t="s">
        <v>108</v>
      </c>
      <c r="E88" s="5" t="s">
        <v>107</v>
      </c>
      <c r="F88" s="6">
        <v>0</v>
      </c>
      <c r="G88" s="7" t="str">
        <f>VLOOKUP(InputData[[#This Row],[PRODUCT ID]],MasterData[],2,0)</f>
        <v>Potato</v>
      </c>
      <c r="H88" s="7" t="str">
        <f>VLOOKUP(InputData[[#This Row],[PRODUCT ID]],MasterData[],3,0)</f>
        <v>Category01</v>
      </c>
      <c r="I88" s="7" t="str">
        <f>VLOOKUP(InputData[[#This Row],[PRODUCT ID]],MasterData[],4,0)</f>
        <v>Kg</v>
      </c>
      <c r="J88" s="7">
        <f>VLOOKUP(InputData[[#This Row],[PRODUCT ID]],MasterData[],5,0)</f>
        <v>83</v>
      </c>
      <c r="K88" s="8">
        <f>VLOOKUP(InputData[[#This Row],[PRODUCT ID]],MasterData[],6,0)</f>
        <v>94.62</v>
      </c>
      <c r="L88" s="8">
        <f>InputData[[#This Row],[BUYING PRIZE]]*InputData[[#This Row],[QUANTITY]]</f>
        <v>1162</v>
      </c>
      <c r="M88" s="8">
        <f>InputData[[#This Row],[SELLING PRICE]]*InputData[[#This Row],[QUANTITY]]*(1-InputData[[#This Row],[DISCOUNT %]])</f>
        <v>1324.68</v>
      </c>
      <c r="N88" s="7">
        <f>DAY(InputData[[#This Row],[DATE]])</f>
        <v>14</v>
      </c>
      <c r="O88" s="7" t="str">
        <f>TEXT(InputData[[#This Row],[DATE]],"MMM")</f>
        <v>May</v>
      </c>
      <c r="P88" s="7">
        <f>YEAR(InputData[[#This Row],[DATE]])</f>
        <v>2022</v>
      </c>
    </row>
    <row r="89" spans="1:16" x14ac:dyDescent="0.25">
      <c r="A89" s="3">
        <v>44709</v>
      </c>
      <c r="B89" s="4" t="s">
        <v>22</v>
      </c>
      <c r="C89" s="5">
        <v>5</v>
      </c>
      <c r="D89" s="5" t="s">
        <v>105</v>
      </c>
      <c r="E89" s="5" t="s">
        <v>106</v>
      </c>
      <c r="F89" s="6">
        <v>0</v>
      </c>
      <c r="G89" s="7" t="str">
        <f>VLOOKUP(InputData[[#This Row],[PRODUCT ID]],MasterData[],2,0)</f>
        <v>Potato</v>
      </c>
      <c r="H89" s="7" t="str">
        <f>VLOOKUP(InputData[[#This Row],[PRODUCT ID]],MasterData[],3,0)</f>
        <v>Category01</v>
      </c>
      <c r="I89" s="7" t="str">
        <f>VLOOKUP(InputData[[#This Row],[PRODUCT ID]],MasterData[],4,0)</f>
        <v>Kg</v>
      </c>
      <c r="J89" s="7">
        <f>VLOOKUP(InputData[[#This Row],[PRODUCT ID]],MasterData[],5,0)</f>
        <v>83</v>
      </c>
      <c r="K89" s="8">
        <f>VLOOKUP(InputData[[#This Row],[PRODUCT ID]],MasterData[],6,0)</f>
        <v>94.62</v>
      </c>
      <c r="L89" s="8">
        <f>InputData[[#This Row],[BUYING PRIZE]]*InputData[[#This Row],[QUANTITY]]</f>
        <v>415</v>
      </c>
      <c r="M89" s="8">
        <f>InputData[[#This Row],[SELLING PRICE]]*InputData[[#This Row],[QUANTITY]]*(1-InputData[[#This Row],[DISCOUNT %]])</f>
        <v>473.1</v>
      </c>
      <c r="N89" s="7">
        <f>DAY(InputData[[#This Row],[DATE]])</f>
        <v>28</v>
      </c>
      <c r="O89" s="7" t="str">
        <f>TEXT(InputData[[#This Row],[DATE]],"MMM")</f>
        <v>May</v>
      </c>
      <c r="P89" s="7">
        <f>YEAR(InputData[[#This Row],[DATE]])</f>
        <v>2022</v>
      </c>
    </row>
    <row r="90" spans="1:16" x14ac:dyDescent="0.25">
      <c r="A90" s="3">
        <v>44715</v>
      </c>
      <c r="B90" s="4" t="s">
        <v>22</v>
      </c>
      <c r="C90" s="5">
        <v>14</v>
      </c>
      <c r="D90" s="5" t="s">
        <v>106</v>
      </c>
      <c r="E90" s="5" t="s">
        <v>106</v>
      </c>
      <c r="F90" s="6">
        <v>0</v>
      </c>
      <c r="G90" s="7" t="str">
        <f>VLOOKUP(InputData[[#This Row],[PRODUCT ID]],MasterData[],2,0)</f>
        <v>Potato</v>
      </c>
      <c r="H90" s="7" t="str">
        <f>VLOOKUP(InputData[[#This Row],[PRODUCT ID]],MasterData[],3,0)</f>
        <v>Category01</v>
      </c>
      <c r="I90" s="7" t="str">
        <f>VLOOKUP(InputData[[#This Row],[PRODUCT ID]],MasterData[],4,0)</f>
        <v>Kg</v>
      </c>
      <c r="J90" s="7">
        <f>VLOOKUP(InputData[[#This Row],[PRODUCT ID]],MasterData[],5,0)</f>
        <v>83</v>
      </c>
      <c r="K90" s="8">
        <f>VLOOKUP(InputData[[#This Row],[PRODUCT ID]],MasterData[],6,0)</f>
        <v>94.62</v>
      </c>
      <c r="L90" s="8">
        <f>InputData[[#This Row],[BUYING PRIZE]]*InputData[[#This Row],[QUANTITY]]</f>
        <v>1162</v>
      </c>
      <c r="M90" s="8">
        <f>InputData[[#This Row],[SELLING PRICE]]*InputData[[#This Row],[QUANTITY]]*(1-InputData[[#This Row],[DISCOUNT %]])</f>
        <v>1324.68</v>
      </c>
      <c r="N90" s="7">
        <f>DAY(InputData[[#This Row],[DATE]])</f>
        <v>3</v>
      </c>
      <c r="O90" s="7" t="str">
        <f>TEXT(InputData[[#This Row],[DATE]],"MMM")</f>
        <v>Jun</v>
      </c>
      <c r="P90" s="7">
        <f>YEAR(InputData[[#This Row],[DATE]])</f>
        <v>2022</v>
      </c>
    </row>
    <row r="91" spans="1:16" x14ac:dyDescent="0.25">
      <c r="A91" s="3">
        <v>44845</v>
      </c>
      <c r="B91" s="4" t="s">
        <v>22</v>
      </c>
      <c r="C91" s="5">
        <v>10</v>
      </c>
      <c r="D91" s="5" t="s">
        <v>108</v>
      </c>
      <c r="E91" s="5" t="s">
        <v>106</v>
      </c>
      <c r="F91" s="6">
        <v>0</v>
      </c>
      <c r="G91" s="7" t="str">
        <f>VLOOKUP(InputData[[#This Row],[PRODUCT ID]],MasterData[],2,0)</f>
        <v>Potato</v>
      </c>
      <c r="H91" s="7" t="str">
        <f>VLOOKUP(InputData[[#This Row],[PRODUCT ID]],MasterData[],3,0)</f>
        <v>Category01</v>
      </c>
      <c r="I91" s="7" t="str">
        <f>VLOOKUP(InputData[[#This Row],[PRODUCT ID]],MasterData[],4,0)</f>
        <v>Kg</v>
      </c>
      <c r="J91" s="7">
        <f>VLOOKUP(InputData[[#This Row],[PRODUCT ID]],MasterData[],5,0)</f>
        <v>83</v>
      </c>
      <c r="K91" s="8">
        <f>VLOOKUP(InputData[[#This Row],[PRODUCT ID]],MasterData[],6,0)</f>
        <v>94.62</v>
      </c>
      <c r="L91" s="8">
        <f>InputData[[#This Row],[BUYING PRIZE]]*InputData[[#This Row],[QUANTITY]]</f>
        <v>830</v>
      </c>
      <c r="M91" s="8">
        <f>InputData[[#This Row],[SELLING PRICE]]*InputData[[#This Row],[QUANTITY]]*(1-InputData[[#This Row],[DISCOUNT %]])</f>
        <v>946.2</v>
      </c>
      <c r="N91" s="7">
        <f>DAY(InputData[[#This Row],[DATE]])</f>
        <v>11</v>
      </c>
      <c r="O91" s="7" t="str">
        <f>TEXT(InputData[[#This Row],[DATE]],"MMM")</f>
        <v>Oct</v>
      </c>
      <c r="P91" s="7">
        <f>YEAR(InputData[[#This Row],[DATE]])</f>
        <v>2022</v>
      </c>
    </row>
    <row r="92" spans="1:16" x14ac:dyDescent="0.25">
      <c r="A92" s="3">
        <v>44869</v>
      </c>
      <c r="B92" s="4" t="s">
        <v>22</v>
      </c>
      <c r="C92" s="5">
        <v>10</v>
      </c>
      <c r="D92" s="5" t="s">
        <v>108</v>
      </c>
      <c r="E92" s="5" t="s">
        <v>106</v>
      </c>
      <c r="F92" s="6">
        <v>0</v>
      </c>
      <c r="G92" s="7" t="str">
        <f>VLOOKUP(InputData[[#This Row],[PRODUCT ID]],MasterData[],2,0)</f>
        <v>Potato</v>
      </c>
      <c r="H92" s="7" t="str">
        <f>VLOOKUP(InputData[[#This Row],[PRODUCT ID]],MasterData[],3,0)</f>
        <v>Category01</v>
      </c>
      <c r="I92" s="7" t="str">
        <f>VLOOKUP(InputData[[#This Row],[PRODUCT ID]],MasterData[],4,0)</f>
        <v>Kg</v>
      </c>
      <c r="J92" s="7">
        <f>VLOOKUP(InputData[[#This Row],[PRODUCT ID]],MasterData[],5,0)</f>
        <v>83</v>
      </c>
      <c r="K92" s="8">
        <f>VLOOKUP(InputData[[#This Row],[PRODUCT ID]],MasterData[],6,0)</f>
        <v>94.62</v>
      </c>
      <c r="L92" s="8">
        <f>InputData[[#This Row],[BUYING PRIZE]]*InputData[[#This Row],[QUANTITY]]</f>
        <v>830</v>
      </c>
      <c r="M92" s="8">
        <f>InputData[[#This Row],[SELLING PRICE]]*InputData[[#This Row],[QUANTITY]]*(1-InputData[[#This Row],[DISCOUNT %]])</f>
        <v>946.2</v>
      </c>
      <c r="N92" s="7">
        <f>DAY(InputData[[#This Row],[DATE]])</f>
        <v>4</v>
      </c>
      <c r="O92" s="7" t="str">
        <f>TEXT(InputData[[#This Row],[DATE]],"MMM")</f>
        <v>Nov</v>
      </c>
      <c r="P92" s="7">
        <f>YEAR(InputData[[#This Row],[DATE]])</f>
        <v>2022</v>
      </c>
    </row>
    <row r="93" spans="1:16" x14ac:dyDescent="0.25">
      <c r="A93" s="3">
        <v>44924</v>
      </c>
      <c r="B93" s="4" t="s">
        <v>22</v>
      </c>
      <c r="C93" s="5">
        <v>15</v>
      </c>
      <c r="D93" s="5" t="s">
        <v>108</v>
      </c>
      <c r="E93" s="5" t="s">
        <v>106</v>
      </c>
      <c r="F93" s="6">
        <v>0</v>
      </c>
      <c r="G93" s="7" t="str">
        <f>VLOOKUP(InputData[[#This Row],[PRODUCT ID]],MasterData[],2,0)</f>
        <v>Potato</v>
      </c>
      <c r="H93" s="7" t="str">
        <f>VLOOKUP(InputData[[#This Row],[PRODUCT ID]],MasterData[],3,0)</f>
        <v>Category01</v>
      </c>
      <c r="I93" s="7" t="str">
        <f>VLOOKUP(InputData[[#This Row],[PRODUCT ID]],MasterData[],4,0)</f>
        <v>Kg</v>
      </c>
      <c r="J93" s="7">
        <f>VLOOKUP(InputData[[#This Row],[PRODUCT ID]],MasterData[],5,0)</f>
        <v>83</v>
      </c>
      <c r="K93" s="8">
        <f>VLOOKUP(InputData[[#This Row],[PRODUCT ID]],MasterData[],6,0)</f>
        <v>94.62</v>
      </c>
      <c r="L93" s="8">
        <f>InputData[[#This Row],[BUYING PRIZE]]*InputData[[#This Row],[QUANTITY]]</f>
        <v>1245</v>
      </c>
      <c r="M93" s="8">
        <f>InputData[[#This Row],[SELLING PRICE]]*InputData[[#This Row],[QUANTITY]]*(1-InputData[[#This Row],[DISCOUNT %]])</f>
        <v>1419.3000000000002</v>
      </c>
      <c r="N93" s="7">
        <f>DAY(InputData[[#This Row],[DATE]])</f>
        <v>29</v>
      </c>
      <c r="O93" s="7" t="str">
        <f>TEXT(InputData[[#This Row],[DATE]],"MMM")</f>
        <v>Dec</v>
      </c>
      <c r="P93" s="7">
        <f>YEAR(InputData[[#This Row],[DATE]])</f>
        <v>2022</v>
      </c>
    </row>
    <row r="94" spans="1:16" x14ac:dyDescent="0.25">
      <c r="A94" s="3">
        <v>44290</v>
      </c>
      <c r="B94" s="4" t="s">
        <v>24</v>
      </c>
      <c r="C94" s="5">
        <v>9</v>
      </c>
      <c r="D94" s="5" t="s">
        <v>106</v>
      </c>
      <c r="E94" s="5" t="s">
        <v>107</v>
      </c>
      <c r="F94" s="6">
        <v>0</v>
      </c>
      <c r="G94" s="7" t="str">
        <f>VLOOKUP(InputData[[#This Row],[PRODUCT ID]],MasterData[],2,0)</f>
        <v>Noodles</v>
      </c>
      <c r="H94" s="7" t="str">
        <f>VLOOKUP(InputData[[#This Row],[PRODUCT ID]],MasterData[],3,0)</f>
        <v>Category01</v>
      </c>
      <c r="I94" s="7" t="str">
        <f>VLOOKUP(InputData[[#This Row],[PRODUCT ID]],MasterData[],4,0)</f>
        <v>No.</v>
      </c>
      <c r="J94" s="7">
        <f>VLOOKUP(InputData[[#This Row],[PRODUCT ID]],MasterData[],5,0)</f>
        <v>6</v>
      </c>
      <c r="K94" s="8">
        <f>VLOOKUP(InputData[[#This Row],[PRODUCT ID]],MasterData[],6,0)</f>
        <v>7.8599999999999994</v>
      </c>
      <c r="L94" s="8">
        <f>InputData[[#This Row],[BUYING PRIZE]]*InputData[[#This Row],[QUANTITY]]</f>
        <v>54</v>
      </c>
      <c r="M94" s="8">
        <f>InputData[[#This Row],[SELLING PRICE]]*InputData[[#This Row],[QUANTITY]]*(1-InputData[[#This Row],[DISCOUNT %]])</f>
        <v>70.739999999999995</v>
      </c>
      <c r="N94" s="7">
        <f>DAY(InputData[[#This Row],[DATE]])</f>
        <v>4</v>
      </c>
      <c r="O94" s="7" t="str">
        <f>TEXT(InputData[[#This Row],[DATE]],"MMM")</f>
        <v>Apr</v>
      </c>
      <c r="P94" s="7">
        <f>YEAR(InputData[[#This Row],[DATE]])</f>
        <v>2021</v>
      </c>
    </row>
    <row r="95" spans="1:16" x14ac:dyDescent="0.25">
      <c r="A95" s="3">
        <v>44321</v>
      </c>
      <c r="B95" s="4" t="s">
        <v>24</v>
      </c>
      <c r="C95" s="5">
        <v>13</v>
      </c>
      <c r="D95" s="5" t="s">
        <v>108</v>
      </c>
      <c r="E95" s="5" t="s">
        <v>107</v>
      </c>
      <c r="F95" s="6">
        <v>0</v>
      </c>
      <c r="G95" s="7" t="str">
        <f>VLOOKUP(InputData[[#This Row],[PRODUCT ID]],MasterData[],2,0)</f>
        <v>Noodles</v>
      </c>
      <c r="H95" s="7" t="str">
        <f>VLOOKUP(InputData[[#This Row],[PRODUCT ID]],MasterData[],3,0)</f>
        <v>Category01</v>
      </c>
      <c r="I95" s="7" t="str">
        <f>VLOOKUP(InputData[[#This Row],[PRODUCT ID]],MasterData[],4,0)</f>
        <v>No.</v>
      </c>
      <c r="J95" s="7">
        <f>VLOOKUP(InputData[[#This Row],[PRODUCT ID]],MasterData[],5,0)</f>
        <v>6</v>
      </c>
      <c r="K95" s="8">
        <f>VLOOKUP(InputData[[#This Row],[PRODUCT ID]],MasterData[],6,0)</f>
        <v>7.8599999999999994</v>
      </c>
      <c r="L95" s="8">
        <f>InputData[[#This Row],[BUYING PRIZE]]*InputData[[#This Row],[QUANTITY]]</f>
        <v>78</v>
      </c>
      <c r="M95" s="8">
        <f>InputData[[#This Row],[SELLING PRICE]]*InputData[[#This Row],[QUANTITY]]*(1-InputData[[#This Row],[DISCOUNT %]])</f>
        <v>102.17999999999999</v>
      </c>
      <c r="N95" s="7">
        <f>DAY(InputData[[#This Row],[DATE]])</f>
        <v>5</v>
      </c>
      <c r="O95" s="7" t="str">
        <f>TEXT(InputData[[#This Row],[DATE]],"MMM")</f>
        <v>May</v>
      </c>
      <c r="P95" s="7">
        <f>YEAR(InputData[[#This Row],[DATE]])</f>
        <v>2021</v>
      </c>
    </row>
    <row r="96" spans="1:16" x14ac:dyDescent="0.25">
      <c r="A96" s="3">
        <v>44322</v>
      </c>
      <c r="B96" s="4" t="s">
        <v>24</v>
      </c>
      <c r="C96" s="5">
        <v>6</v>
      </c>
      <c r="D96" s="5" t="s">
        <v>106</v>
      </c>
      <c r="E96" s="5" t="s">
        <v>106</v>
      </c>
      <c r="F96" s="6">
        <v>0</v>
      </c>
      <c r="G96" s="7" t="str">
        <f>VLOOKUP(InputData[[#This Row],[PRODUCT ID]],MasterData[],2,0)</f>
        <v>Noodles</v>
      </c>
      <c r="H96" s="7" t="str">
        <f>VLOOKUP(InputData[[#This Row],[PRODUCT ID]],MasterData[],3,0)</f>
        <v>Category01</v>
      </c>
      <c r="I96" s="7" t="str">
        <f>VLOOKUP(InputData[[#This Row],[PRODUCT ID]],MasterData[],4,0)</f>
        <v>No.</v>
      </c>
      <c r="J96" s="7">
        <f>VLOOKUP(InputData[[#This Row],[PRODUCT ID]],MasterData[],5,0)</f>
        <v>6</v>
      </c>
      <c r="K96" s="8">
        <f>VLOOKUP(InputData[[#This Row],[PRODUCT ID]],MasterData[],6,0)</f>
        <v>7.8599999999999994</v>
      </c>
      <c r="L96" s="8">
        <f>InputData[[#This Row],[BUYING PRIZE]]*InputData[[#This Row],[QUANTITY]]</f>
        <v>36</v>
      </c>
      <c r="M96" s="8">
        <f>InputData[[#This Row],[SELLING PRICE]]*InputData[[#This Row],[QUANTITY]]*(1-InputData[[#This Row],[DISCOUNT %]])</f>
        <v>47.16</v>
      </c>
      <c r="N96" s="7">
        <f>DAY(InputData[[#This Row],[DATE]])</f>
        <v>6</v>
      </c>
      <c r="O96" s="7" t="str">
        <f>TEXT(InputData[[#This Row],[DATE]],"MMM")</f>
        <v>May</v>
      </c>
      <c r="P96" s="7">
        <f>YEAR(InputData[[#This Row],[DATE]])</f>
        <v>2021</v>
      </c>
    </row>
    <row r="97" spans="1:16" x14ac:dyDescent="0.25">
      <c r="A97" s="3">
        <v>44373</v>
      </c>
      <c r="B97" s="4" t="s">
        <v>24</v>
      </c>
      <c r="C97" s="5">
        <v>7</v>
      </c>
      <c r="D97" s="5" t="s">
        <v>106</v>
      </c>
      <c r="E97" s="5" t="s">
        <v>106</v>
      </c>
      <c r="F97" s="6">
        <v>0</v>
      </c>
      <c r="G97" s="7" t="str">
        <f>VLOOKUP(InputData[[#This Row],[PRODUCT ID]],MasterData[],2,0)</f>
        <v>Noodles</v>
      </c>
      <c r="H97" s="7" t="str">
        <f>VLOOKUP(InputData[[#This Row],[PRODUCT ID]],MasterData[],3,0)</f>
        <v>Category01</v>
      </c>
      <c r="I97" s="7" t="str">
        <f>VLOOKUP(InputData[[#This Row],[PRODUCT ID]],MasterData[],4,0)</f>
        <v>No.</v>
      </c>
      <c r="J97" s="7">
        <f>VLOOKUP(InputData[[#This Row],[PRODUCT ID]],MasterData[],5,0)</f>
        <v>6</v>
      </c>
      <c r="K97" s="8">
        <f>VLOOKUP(InputData[[#This Row],[PRODUCT ID]],MasterData[],6,0)</f>
        <v>7.8599999999999994</v>
      </c>
      <c r="L97" s="8">
        <f>InputData[[#This Row],[BUYING PRIZE]]*InputData[[#This Row],[QUANTITY]]</f>
        <v>42</v>
      </c>
      <c r="M97" s="8">
        <f>InputData[[#This Row],[SELLING PRICE]]*InputData[[#This Row],[QUANTITY]]*(1-InputData[[#This Row],[DISCOUNT %]])</f>
        <v>55.019999999999996</v>
      </c>
      <c r="N97" s="7">
        <f>DAY(InputData[[#This Row],[DATE]])</f>
        <v>26</v>
      </c>
      <c r="O97" s="7" t="str">
        <f>TEXT(InputData[[#This Row],[DATE]],"MMM")</f>
        <v>Jun</v>
      </c>
      <c r="P97" s="7">
        <f>YEAR(InputData[[#This Row],[DATE]])</f>
        <v>2021</v>
      </c>
    </row>
    <row r="98" spans="1:16" x14ac:dyDescent="0.25">
      <c r="A98" s="3">
        <v>44388</v>
      </c>
      <c r="B98" s="4" t="s">
        <v>24</v>
      </c>
      <c r="C98" s="5">
        <v>4</v>
      </c>
      <c r="D98" s="5" t="s">
        <v>105</v>
      </c>
      <c r="E98" s="5" t="s">
        <v>106</v>
      </c>
      <c r="F98" s="6">
        <v>0</v>
      </c>
      <c r="G98" s="7" t="str">
        <f>VLOOKUP(InputData[[#This Row],[PRODUCT ID]],MasterData[],2,0)</f>
        <v>Noodles</v>
      </c>
      <c r="H98" s="7" t="str">
        <f>VLOOKUP(InputData[[#This Row],[PRODUCT ID]],MasterData[],3,0)</f>
        <v>Category01</v>
      </c>
      <c r="I98" s="7" t="str">
        <f>VLOOKUP(InputData[[#This Row],[PRODUCT ID]],MasterData[],4,0)</f>
        <v>No.</v>
      </c>
      <c r="J98" s="7">
        <f>VLOOKUP(InputData[[#This Row],[PRODUCT ID]],MasterData[],5,0)</f>
        <v>6</v>
      </c>
      <c r="K98" s="8">
        <f>VLOOKUP(InputData[[#This Row],[PRODUCT ID]],MasterData[],6,0)</f>
        <v>7.8599999999999994</v>
      </c>
      <c r="L98" s="8">
        <f>InputData[[#This Row],[BUYING PRIZE]]*InputData[[#This Row],[QUANTITY]]</f>
        <v>24</v>
      </c>
      <c r="M98" s="8">
        <f>InputData[[#This Row],[SELLING PRICE]]*InputData[[#This Row],[QUANTITY]]*(1-InputData[[#This Row],[DISCOUNT %]])</f>
        <v>31.439999999999998</v>
      </c>
      <c r="N98" s="7">
        <f>DAY(InputData[[#This Row],[DATE]])</f>
        <v>11</v>
      </c>
      <c r="O98" s="7" t="str">
        <f>TEXT(InputData[[#This Row],[DATE]],"MMM")</f>
        <v>Jul</v>
      </c>
      <c r="P98" s="7">
        <f>YEAR(InputData[[#This Row],[DATE]])</f>
        <v>2021</v>
      </c>
    </row>
    <row r="99" spans="1:16" x14ac:dyDescent="0.25">
      <c r="A99" s="3">
        <v>44401</v>
      </c>
      <c r="B99" s="4" t="s">
        <v>24</v>
      </c>
      <c r="C99" s="5">
        <v>4</v>
      </c>
      <c r="D99" s="5" t="s">
        <v>106</v>
      </c>
      <c r="E99" s="5" t="s">
        <v>107</v>
      </c>
      <c r="F99" s="6">
        <v>0</v>
      </c>
      <c r="G99" s="7" t="str">
        <f>VLOOKUP(InputData[[#This Row],[PRODUCT ID]],MasterData[],2,0)</f>
        <v>Noodles</v>
      </c>
      <c r="H99" s="7" t="str">
        <f>VLOOKUP(InputData[[#This Row],[PRODUCT ID]],MasterData[],3,0)</f>
        <v>Category01</v>
      </c>
      <c r="I99" s="7" t="str">
        <f>VLOOKUP(InputData[[#This Row],[PRODUCT ID]],MasterData[],4,0)</f>
        <v>No.</v>
      </c>
      <c r="J99" s="7">
        <f>VLOOKUP(InputData[[#This Row],[PRODUCT ID]],MasterData[],5,0)</f>
        <v>6</v>
      </c>
      <c r="K99" s="8">
        <f>VLOOKUP(InputData[[#This Row],[PRODUCT ID]],MasterData[],6,0)</f>
        <v>7.8599999999999994</v>
      </c>
      <c r="L99" s="8">
        <f>InputData[[#This Row],[BUYING PRIZE]]*InputData[[#This Row],[QUANTITY]]</f>
        <v>24</v>
      </c>
      <c r="M99" s="8">
        <f>InputData[[#This Row],[SELLING PRICE]]*InputData[[#This Row],[QUANTITY]]*(1-InputData[[#This Row],[DISCOUNT %]])</f>
        <v>31.439999999999998</v>
      </c>
      <c r="N99" s="7">
        <f>DAY(InputData[[#This Row],[DATE]])</f>
        <v>24</v>
      </c>
      <c r="O99" s="7" t="str">
        <f>TEXT(InputData[[#This Row],[DATE]],"MMM")</f>
        <v>Jul</v>
      </c>
      <c r="P99" s="7">
        <f>YEAR(InputData[[#This Row],[DATE]])</f>
        <v>2021</v>
      </c>
    </row>
    <row r="100" spans="1:16" x14ac:dyDescent="0.25">
      <c r="A100" s="3">
        <v>44491</v>
      </c>
      <c r="B100" s="4" t="s">
        <v>24</v>
      </c>
      <c r="C100" s="5">
        <v>1</v>
      </c>
      <c r="D100" s="5" t="s">
        <v>108</v>
      </c>
      <c r="E100" s="5" t="s">
        <v>107</v>
      </c>
      <c r="F100" s="6">
        <v>0</v>
      </c>
      <c r="G100" s="7" t="str">
        <f>VLOOKUP(InputData[[#This Row],[PRODUCT ID]],MasterData[],2,0)</f>
        <v>Noodles</v>
      </c>
      <c r="H100" s="7" t="str">
        <f>VLOOKUP(InputData[[#This Row],[PRODUCT ID]],MasterData[],3,0)</f>
        <v>Category01</v>
      </c>
      <c r="I100" s="7" t="str">
        <f>VLOOKUP(InputData[[#This Row],[PRODUCT ID]],MasterData[],4,0)</f>
        <v>No.</v>
      </c>
      <c r="J100" s="7">
        <f>VLOOKUP(InputData[[#This Row],[PRODUCT ID]],MasterData[],5,0)</f>
        <v>6</v>
      </c>
      <c r="K100" s="8">
        <f>VLOOKUP(InputData[[#This Row],[PRODUCT ID]],MasterData[],6,0)</f>
        <v>7.8599999999999994</v>
      </c>
      <c r="L100" s="8">
        <f>InputData[[#This Row],[BUYING PRIZE]]*InputData[[#This Row],[QUANTITY]]</f>
        <v>6</v>
      </c>
      <c r="M100" s="8">
        <f>InputData[[#This Row],[SELLING PRICE]]*InputData[[#This Row],[QUANTITY]]*(1-InputData[[#This Row],[DISCOUNT %]])</f>
        <v>7.8599999999999994</v>
      </c>
      <c r="N100" s="7">
        <f>DAY(InputData[[#This Row],[DATE]])</f>
        <v>22</v>
      </c>
      <c r="O100" s="7" t="str">
        <f>TEXT(InputData[[#This Row],[DATE]],"MMM")</f>
        <v>Oct</v>
      </c>
      <c r="P100" s="7">
        <f>YEAR(InputData[[#This Row],[DATE]])</f>
        <v>2021</v>
      </c>
    </row>
    <row r="101" spans="1:16" x14ac:dyDescent="0.25">
      <c r="A101" s="3">
        <v>44691</v>
      </c>
      <c r="B101" s="4" t="s">
        <v>24</v>
      </c>
      <c r="C101" s="5">
        <v>6</v>
      </c>
      <c r="D101" s="5" t="s">
        <v>108</v>
      </c>
      <c r="E101" s="5" t="s">
        <v>106</v>
      </c>
      <c r="F101" s="6">
        <v>0</v>
      </c>
      <c r="G101" s="7" t="str">
        <f>VLOOKUP(InputData[[#This Row],[PRODUCT ID]],MasterData[],2,0)</f>
        <v>Noodles</v>
      </c>
      <c r="H101" s="7" t="str">
        <f>VLOOKUP(InputData[[#This Row],[PRODUCT ID]],MasterData[],3,0)</f>
        <v>Category01</v>
      </c>
      <c r="I101" s="7" t="str">
        <f>VLOOKUP(InputData[[#This Row],[PRODUCT ID]],MasterData[],4,0)</f>
        <v>No.</v>
      </c>
      <c r="J101" s="7">
        <f>VLOOKUP(InputData[[#This Row],[PRODUCT ID]],MasterData[],5,0)</f>
        <v>6</v>
      </c>
      <c r="K101" s="8">
        <f>VLOOKUP(InputData[[#This Row],[PRODUCT ID]],MasterData[],6,0)</f>
        <v>7.8599999999999994</v>
      </c>
      <c r="L101" s="8">
        <f>InputData[[#This Row],[BUYING PRIZE]]*InputData[[#This Row],[QUANTITY]]</f>
        <v>36</v>
      </c>
      <c r="M101" s="8">
        <f>InputData[[#This Row],[SELLING PRICE]]*InputData[[#This Row],[QUANTITY]]*(1-InputData[[#This Row],[DISCOUNT %]])</f>
        <v>47.16</v>
      </c>
      <c r="N101" s="7">
        <f>DAY(InputData[[#This Row],[DATE]])</f>
        <v>10</v>
      </c>
      <c r="O101" s="7" t="str">
        <f>TEXT(InputData[[#This Row],[DATE]],"MMM")</f>
        <v>May</v>
      </c>
      <c r="P101" s="7">
        <f>YEAR(InputData[[#This Row],[DATE]])</f>
        <v>2022</v>
      </c>
    </row>
    <row r="102" spans="1:16" x14ac:dyDescent="0.25">
      <c r="A102" s="3">
        <v>44910</v>
      </c>
      <c r="B102" s="4" t="s">
        <v>24</v>
      </c>
      <c r="C102" s="5">
        <v>13</v>
      </c>
      <c r="D102" s="5" t="s">
        <v>108</v>
      </c>
      <c r="E102" s="5" t="s">
        <v>106</v>
      </c>
      <c r="F102" s="6">
        <v>0</v>
      </c>
      <c r="G102" s="7" t="str">
        <f>VLOOKUP(InputData[[#This Row],[PRODUCT ID]],MasterData[],2,0)</f>
        <v>Noodles</v>
      </c>
      <c r="H102" s="7" t="str">
        <f>VLOOKUP(InputData[[#This Row],[PRODUCT ID]],MasterData[],3,0)</f>
        <v>Category01</v>
      </c>
      <c r="I102" s="7" t="str">
        <f>VLOOKUP(InputData[[#This Row],[PRODUCT ID]],MasterData[],4,0)</f>
        <v>No.</v>
      </c>
      <c r="J102" s="7">
        <f>VLOOKUP(InputData[[#This Row],[PRODUCT ID]],MasterData[],5,0)</f>
        <v>6</v>
      </c>
      <c r="K102" s="8">
        <f>VLOOKUP(InputData[[#This Row],[PRODUCT ID]],MasterData[],6,0)</f>
        <v>7.8599999999999994</v>
      </c>
      <c r="L102" s="8">
        <f>InputData[[#This Row],[BUYING PRIZE]]*InputData[[#This Row],[QUANTITY]]</f>
        <v>78</v>
      </c>
      <c r="M102" s="8">
        <f>InputData[[#This Row],[SELLING PRICE]]*InputData[[#This Row],[QUANTITY]]*(1-InputData[[#This Row],[DISCOUNT %]])</f>
        <v>102.17999999999999</v>
      </c>
      <c r="N102" s="7">
        <f>DAY(InputData[[#This Row],[DATE]])</f>
        <v>15</v>
      </c>
      <c r="O102" s="7" t="str">
        <f>TEXT(InputData[[#This Row],[DATE]],"MMM")</f>
        <v>Dec</v>
      </c>
      <c r="P102" s="7">
        <f>YEAR(InputData[[#This Row],[DATE]])</f>
        <v>2022</v>
      </c>
    </row>
    <row r="103" spans="1:16" x14ac:dyDescent="0.25">
      <c r="A103" s="3">
        <v>44914</v>
      </c>
      <c r="B103" s="4" t="s">
        <v>24</v>
      </c>
      <c r="C103" s="5">
        <v>11</v>
      </c>
      <c r="D103" s="5" t="s">
        <v>106</v>
      </c>
      <c r="E103" s="5" t="s">
        <v>106</v>
      </c>
      <c r="F103" s="6">
        <v>0</v>
      </c>
      <c r="G103" s="7" t="str">
        <f>VLOOKUP(InputData[[#This Row],[PRODUCT ID]],MasterData[],2,0)</f>
        <v>Noodles</v>
      </c>
      <c r="H103" s="7" t="str">
        <f>VLOOKUP(InputData[[#This Row],[PRODUCT ID]],MasterData[],3,0)</f>
        <v>Category01</v>
      </c>
      <c r="I103" s="7" t="str">
        <f>VLOOKUP(InputData[[#This Row],[PRODUCT ID]],MasterData[],4,0)</f>
        <v>No.</v>
      </c>
      <c r="J103" s="7">
        <f>VLOOKUP(InputData[[#This Row],[PRODUCT ID]],MasterData[],5,0)</f>
        <v>6</v>
      </c>
      <c r="K103" s="8">
        <f>VLOOKUP(InputData[[#This Row],[PRODUCT ID]],MasterData[],6,0)</f>
        <v>7.8599999999999994</v>
      </c>
      <c r="L103" s="8">
        <f>InputData[[#This Row],[BUYING PRIZE]]*InputData[[#This Row],[QUANTITY]]</f>
        <v>66</v>
      </c>
      <c r="M103" s="8">
        <f>InputData[[#This Row],[SELLING PRICE]]*InputData[[#This Row],[QUANTITY]]*(1-InputData[[#This Row],[DISCOUNT %]])</f>
        <v>86.46</v>
      </c>
      <c r="N103" s="7">
        <f>DAY(InputData[[#This Row],[DATE]])</f>
        <v>19</v>
      </c>
      <c r="O103" s="7" t="str">
        <f>TEXT(InputData[[#This Row],[DATE]],"MMM")</f>
        <v>Dec</v>
      </c>
      <c r="P103" s="7">
        <f>YEAR(InputData[[#This Row],[DATE]])</f>
        <v>2022</v>
      </c>
    </row>
    <row r="104" spans="1:16" x14ac:dyDescent="0.25">
      <c r="A104" s="3">
        <v>44229</v>
      </c>
      <c r="B104" s="4" t="s">
        <v>26</v>
      </c>
      <c r="C104" s="5">
        <v>7</v>
      </c>
      <c r="D104" s="5" t="s">
        <v>106</v>
      </c>
      <c r="E104" s="5" t="s">
        <v>106</v>
      </c>
      <c r="F104" s="6">
        <v>0</v>
      </c>
      <c r="G104" s="7" t="str">
        <f>VLOOKUP(InputData[[#This Row],[PRODUCT ID]],MasterData[],2,0)</f>
        <v>Cheese</v>
      </c>
      <c r="H104" s="7" t="str">
        <f>VLOOKUP(InputData[[#This Row],[PRODUCT ID]],MasterData[],3,0)</f>
        <v>Category02</v>
      </c>
      <c r="I104" s="7" t="str">
        <f>VLOOKUP(InputData[[#This Row],[PRODUCT ID]],MasterData[],4,0)</f>
        <v>Ft</v>
      </c>
      <c r="J104" s="7">
        <f>VLOOKUP(InputData[[#This Row],[PRODUCT ID]],MasterData[],5,0)</f>
        <v>148</v>
      </c>
      <c r="K104" s="8">
        <f>VLOOKUP(InputData[[#This Row],[PRODUCT ID]],MasterData[],6,0)</f>
        <v>164.28</v>
      </c>
      <c r="L104" s="8">
        <f>InputData[[#This Row],[BUYING PRIZE]]*InputData[[#This Row],[QUANTITY]]</f>
        <v>1036</v>
      </c>
      <c r="M104" s="8">
        <f>InputData[[#This Row],[SELLING PRICE]]*InputData[[#This Row],[QUANTITY]]*(1-InputData[[#This Row],[DISCOUNT %]])</f>
        <v>1149.96</v>
      </c>
      <c r="N104" s="7">
        <f>DAY(InputData[[#This Row],[DATE]])</f>
        <v>2</v>
      </c>
      <c r="O104" s="7" t="str">
        <f>TEXT(InputData[[#This Row],[DATE]],"MMM")</f>
        <v>Feb</v>
      </c>
      <c r="P104" s="7">
        <f>YEAR(InputData[[#This Row],[DATE]])</f>
        <v>2021</v>
      </c>
    </row>
    <row r="105" spans="1:16" x14ac:dyDescent="0.25">
      <c r="A105" s="3">
        <v>44281</v>
      </c>
      <c r="B105" s="4" t="s">
        <v>26</v>
      </c>
      <c r="C105" s="5">
        <v>9</v>
      </c>
      <c r="D105" s="5" t="s">
        <v>108</v>
      </c>
      <c r="E105" s="5" t="s">
        <v>106</v>
      </c>
      <c r="F105" s="6">
        <v>0</v>
      </c>
      <c r="G105" s="7" t="str">
        <f>VLOOKUP(InputData[[#This Row],[PRODUCT ID]],MasterData[],2,0)</f>
        <v>Cheese</v>
      </c>
      <c r="H105" s="7" t="str">
        <f>VLOOKUP(InputData[[#This Row],[PRODUCT ID]],MasterData[],3,0)</f>
        <v>Category02</v>
      </c>
      <c r="I105" s="7" t="str">
        <f>VLOOKUP(InputData[[#This Row],[PRODUCT ID]],MasterData[],4,0)</f>
        <v>Ft</v>
      </c>
      <c r="J105" s="7">
        <f>VLOOKUP(InputData[[#This Row],[PRODUCT ID]],MasterData[],5,0)</f>
        <v>148</v>
      </c>
      <c r="K105" s="8">
        <f>VLOOKUP(InputData[[#This Row],[PRODUCT ID]],MasterData[],6,0)</f>
        <v>164.28</v>
      </c>
      <c r="L105" s="8">
        <f>InputData[[#This Row],[BUYING PRIZE]]*InputData[[#This Row],[QUANTITY]]</f>
        <v>1332</v>
      </c>
      <c r="M105" s="8">
        <f>InputData[[#This Row],[SELLING PRICE]]*InputData[[#This Row],[QUANTITY]]*(1-InputData[[#This Row],[DISCOUNT %]])</f>
        <v>1478.52</v>
      </c>
      <c r="N105" s="7">
        <f>DAY(InputData[[#This Row],[DATE]])</f>
        <v>26</v>
      </c>
      <c r="O105" s="7" t="str">
        <f>TEXT(InputData[[#This Row],[DATE]],"MMM")</f>
        <v>Mar</v>
      </c>
      <c r="P105" s="7">
        <f>YEAR(InputData[[#This Row],[DATE]])</f>
        <v>2021</v>
      </c>
    </row>
    <row r="106" spans="1:16" x14ac:dyDescent="0.25">
      <c r="A106" s="3">
        <v>44379</v>
      </c>
      <c r="B106" s="4" t="s">
        <v>26</v>
      </c>
      <c r="C106" s="5">
        <v>11</v>
      </c>
      <c r="D106" s="5" t="s">
        <v>108</v>
      </c>
      <c r="E106" s="5" t="s">
        <v>107</v>
      </c>
      <c r="F106" s="6">
        <v>0</v>
      </c>
      <c r="G106" s="7" t="str">
        <f>VLOOKUP(InputData[[#This Row],[PRODUCT ID]],MasterData[],2,0)</f>
        <v>Cheese</v>
      </c>
      <c r="H106" s="7" t="str">
        <f>VLOOKUP(InputData[[#This Row],[PRODUCT ID]],MasterData[],3,0)</f>
        <v>Category02</v>
      </c>
      <c r="I106" s="7" t="str">
        <f>VLOOKUP(InputData[[#This Row],[PRODUCT ID]],MasterData[],4,0)</f>
        <v>Ft</v>
      </c>
      <c r="J106" s="7">
        <f>VLOOKUP(InputData[[#This Row],[PRODUCT ID]],MasterData[],5,0)</f>
        <v>148</v>
      </c>
      <c r="K106" s="8">
        <f>VLOOKUP(InputData[[#This Row],[PRODUCT ID]],MasterData[],6,0)</f>
        <v>164.28</v>
      </c>
      <c r="L106" s="8">
        <f>InputData[[#This Row],[BUYING PRIZE]]*InputData[[#This Row],[QUANTITY]]</f>
        <v>1628</v>
      </c>
      <c r="M106" s="8">
        <f>InputData[[#This Row],[SELLING PRICE]]*InputData[[#This Row],[QUANTITY]]*(1-InputData[[#This Row],[DISCOUNT %]])</f>
        <v>1807.08</v>
      </c>
      <c r="N106" s="7">
        <f>DAY(InputData[[#This Row],[DATE]])</f>
        <v>2</v>
      </c>
      <c r="O106" s="7" t="str">
        <f>TEXT(InputData[[#This Row],[DATE]],"MMM")</f>
        <v>Jul</v>
      </c>
      <c r="P106" s="7">
        <f>YEAR(InputData[[#This Row],[DATE]])</f>
        <v>2021</v>
      </c>
    </row>
    <row r="107" spans="1:16" x14ac:dyDescent="0.25">
      <c r="A107" s="3">
        <v>44512</v>
      </c>
      <c r="B107" s="4" t="s">
        <v>26</v>
      </c>
      <c r="C107" s="5">
        <v>3</v>
      </c>
      <c r="D107" s="5" t="s">
        <v>106</v>
      </c>
      <c r="E107" s="5" t="s">
        <v>107</v>
      </c>
      <c r="F107" s="6">
        <v>0</v>
      </c>
      <c r="G107" s="7" t="str">
        <f>VLOOKUP(InputData[[#This Row],[PRODUCT ID]],MasterData[],2,0)</f>
        <v>Cheese</v>
      </c>
      <c r="H107" s="7" t="str">
        <f>VLOOKUP(InputData[[#This Row],[PRODUCT ID]],MasterData[],3,0)</f>
        <v>Category02</v>
      </c>
      <c r="I107" s="7" t="str">
        <f>VLOOKUP(InputData[[#This Row],[PRODUCT ID]],MasterData[],4,0)</f>
        <v>Ft</v>
      </c>
      <c r="J107" s="7">
        <f>VLOOKUP(InputData[[#This Row],[PRODUCT ID]],MasterData[],5,0)</f>
        <v>148</v>
      </c>
      <c r="K107" s="8">
        <f>VLOOKUP(InputData[[#This Row],[PRODUCT ID]],MasterData[],6,0)</f>
        <v>164.28</v>
      </c>
      <c r="L107" s="8">
        <f>InputData[[#This Row],[BUYING PRIZE]]*InputData[[#This Row],[QUANTITY]]</f>
        <v>444</v>
      </c>
      <c r="M107" s="8">
        <f>InputData[[#This Row],[SELLING PRICE]]*InputData[[#This Row],[QUANTITY]]*(1-InputData[[#This Row],[DISCOUNT %]])</f>
        <v>492.84000000000003</v>
      </c>
      <c r="N107" s="7">
        <f>DAY(InputData[[#This Row],[DATE]])</f>
        <v>12</v>
      </c>
      <c r="O107" s="7" t="str">
        <f>TEXT(InputData[[#This Row],[DATE]],"MMM")</f>
        <v>Nov</v>
      </c>
      <c r="P107" s="7">
        <f>YEAR(InputData[[#This Row],[DATE]])</f>
        <v>2021</v>
      </c>
    </row>
    <row r="108" spans="1:16" x14ac:dyDescent="0.25">
      <c r="A108" s="3">
        <v>44535</v>
      </c>
      <c r="B108" s="4" t="s">
        <v>26</v>
      </c>
      <c r="C108" s="5">
        <v>1</v>
      </c>
      <c r="D108" s="5" t="s">
        <v>108</v>
      </c>
      <c r="E108" s="5" t="s">
        <v>106</v>
      </c>
      <c r="F108" s="6">
        <v>0</v>
      </c>
      <c r="G108" s="7" t="str">
        <f>VLOOKUP(InputData[[#This Row],[PRODUCT ID]],MasterData[],2,0)</f>
        <v>Cheese</v>
      </c>
      <c r="H108" s="7" t="str">
        <f>VLOOKUP(InputData[[#This Row],[PRODUCT ID]],MasterData[],3,0)</f>
        <v>Category02</v>
      </c>
      <c r="I108" s="7" t="str">
        <f>VLOOKUP(InputData[[#This Row],[PRODUCT ID]],MasterData[],4,0)</f>
        <v>Ft</v>
      </c>
      <c r="J108" s="7">
        <f>VLOOKUP(InputData[[#This Row],[PRODUCT ID]],MasterData[],5,0)</f>
        <v>148</v>
      </c>
      <c r="K108" s="8">
        <f>VLOOKUP(InputData[[#This Row],[PRODUCT ID]],MasterData[],6,0)</f>
        <v>164.28</v>
      </c>
      <c r="L108" s="8">
        <f>InputData[[#This Row],[BUYING PRIZE]]*InputData[[#This Row],[QUANTITY]]</f>
        <v>148</v>
      </c>
      <c r="M108" s="8">
        <f>InputData[[#This Row],[SELLING PRICE]]*InputData[[#This Row],[QUANTITY]]*(1-InputData[[#This Row],[DISCOUNT %]])</f>
        <v>164.28</v>
      </c>
      <c r="N108" s="7">
        <f>DAY(InputData[[#This Row],[DATE]])</f>
        <v>5</v>
      </c>
      <c r="O108" s="7" t="str">
        <f>TEXT(InputData[[#This Row],[DATE]],"MMM")</f>
        <v>Dec</v>
      </c>
      <c r="P108" s="7">
        <f>YEAR(InputData[[#This Row],[DATE]])</f>
        <v>2021</v>
      </c>
    </row>
    <row r="109" spans="1:16" x14ac:dyDescent="0.25">
      <c r="A109" s="3">
        <v>44560</v>
      </c>
      <c r="B109" s="4" t="s">
        <v>26</v>
      </c>
      <c r="C109" s="5">
        <v>13</v>
      </c>
      <c r="D109" s="5" t="s">
        <v>106</v>
      </c>
      <c r="E109" s="5" t="s">
        <v>106</v>
      </c>
      <c r="F109" s="6">
        <v>0</v>
      </c>
      <c r="G109" s="7" t="str">
        <f>VLOOKUP(InputData[[#This Row],[PRODUCT ID]],MasterData[],2,0)</f>
        <v>Cheese</v>
      </c>
      <c r="H109" s="7" t="str">
        <f>VLOOKUP(InputData[[#This Row],[PRODUCT ID]],MasterData[],3,0)</f>
        <v>Category02</v>
      </c>
      <c r="I109" s="7" t="str">
        <f>VLOOKUP(InputData[[#This Row],[PRODUCT ID]],MasterData[],4,0)</f>
        <v>Ft</v>
      </c>
      <c r="J109" s="7">
        <f>VLOOKUP(InputData[[#This Row],[PRODUCT ID]],MasterData[],5,0)</f>
        <v>148</v>
      </c>
      <c r="K109" s="8">
        <f>VLOOKUP(InputData[[#This Row],[PRODUCT ID]],MasterData[],6,0)</f>
        <v>164.28</v>
      </c>
      <c r="L109" s="8">
        <f>InputData[[#This Row],[BUYING PRIZE]]*InputData[[#This Row],[QUANTITY]]</f>
        <v>1924</v>
      </c>
      <c r="M109" s="8">
        <f>InputData[[#This Row],[SELLING PRICE]]*InputData[[#This Row],[QUANTITY]]*(1-InputData[[#This Row],[DISCOUNT %]])</f>
        <v>2135.64</v>
      </c>
      <c r="N109" s="7">
        <f>DAY(InputData[[#This Row],[DATE]])</f>
        <v>30</v>
      </c>
      <c r="O109" s="7" t="str">
        <f>TEXT(InputData[[#This Row],[DATE]],"MMM")</f>
        <v>Dec</v>
      </c>
      <c r="P109" s="7">
        <f>YEAR(InputData[[#This Row],[DATE]])</f>
        <v>2021</v>
      </c>
    </row>
    <row r="110" spans="1:16" x14ac:dyDescent="0.25">
      <c r="A110" s="3">
        <v>44563</v>
      </c>
      <c r="B110" s="4" t="s">
        <v>26</v>
      </c>
      <c r="C110" s="5">
        <v>7</v>
      </c>
      <c r="D110" s="5" t="s">
        <v>108</v>
      </c>
      <c r="E110" s="5" t="s">
        <v>107</v>
      </c>
      <c r="F110" s="6">
        <v>0</v>
      </c>
      <c r="G110" s="7" t="str">
        <f>VLOOKUP(InputData[[#This Row],[PRODUCT ID]],MasterData[],2,0)</f>
        <v>Cheese</v>
      </c>
      <c r="H110" s="7" t="str">
        <f>VLOOKUP(InputData[[#This Row],[PRODUCT ID]],MasterData[],3,0)</f>
        <v>Category02</v>
      </c>
      <c r="I110" s="7" t="str">
        <f>VLOOKUP(InputData[[#This Row],[PRODUCT ID]],MasterData[],4,0)</f>
        <v>Ft</v>
      </c>
      <c r="J110" s="7">
        <f>VLOOKUP(InputData[[#This Row],[PRODUCT ID]],MasterData[],5,0)</f>
        <v>148</v>
      </c>
      <c r="K110" s="8">
        <f>VLOOKUP(InputData[[#This Row],[PRODUCT ID]],MasterData[],6,0)</f>
        <v>164.28</v>
      </c>
      <c r="L110" s="8">
        <f>InputData[[#This Row],[BUYING PRIZE]]*InputData[[#This Row],[QUANTITY]]</f>
        <v>1036</v>
      </c>
      <c r="M110" s="8">
        <f>InputData[[#This Row],[SELLING PRICE]]*InputData[[#This Row],[QUANTITY]]*(1-InputData[[#This Row],[DISCOUNT %]])</f>
        <v>1149.96</v>
      </c>
      <c r="N110" s="7">
        <f>DAY(InputData[[#This Row],[DATE]])</f>
        <v>2</v>
      </c>
      <c r="O110" s="7" t="str">
        <f>TEXT(InputData[[#This Row],[DATE]],"MMM")</f>
        <v>Jan</v>
      </c>
      <c r="P110" s="7">
        <f>YEAR(InputData[[#This Row],[DATE]])</f>
        <v>2022</v>
      </c>
    </row>
    <row r="111" spans="1:16" x14ac:dyDescent="0.25">
      <c r="A111" s="3">
        <v>44604</v>
      </c>
      <c r="B111" s="4" t="s">
        <v>26</v>
      </c>
      <c r="C111" s="5">
        <v>13</v>
      </c>
      <c r="D111" s="5" t="s">
        <v>108</v>
      </c>
      <c r="E111" s="5" t="s">
        <v>107</v>
      </c>
      <c r="F111" s="6">
        <v>0</v>
      </c>
      <c r="G111" s="7" t="str">
        <f>VLOOKUP(InputData[[#This Row],[PRODUCT ID]],MasterData[],2,0)</f>
        <v>Cheese</v>
      </c>
      <c r="H111" s="7" t="str">
        <f>VLOOKUP(InputData[[#This Row],[PRODUCT ID]],MasterData[],3,0)</f>
        <v>Category02</v>
      </c>
      <c r="I111" s="7" t="str">
        <f>VLOOKUP(InputData[[#This Row],[PRODUCT ID]],MasterData[],4,0)</f>
        <v>Ft</v>
      </c>
      <c r="J111" s="7">
        <f>VLOOKUP(InputData[[#This Row],[PRODUCT ID]],MasterData[],5,0)</f>
        <v>148</v>
      </c>
      <c r="K111" s="8">
        <f>VLOOKUP(InputData[[#This Row],[PRODUCT ID]],MasterData[],6,0)</f>
        <v>164.28</v>
      </c>
      <c r="L111" s="8">
        <f>InputData[[#This Row],[BUYING PRIZE]]*InputData[[#This Row],[QUANTITY]]</f>
        <v>1924</v>
      </c>
      <c r="M111" s="8">
        <f>InputData[[#This Row],[SELLING PRICE]]*InputData[[#This Row],[QUANTITY]]*(1-InputData[[#This Row],[DISCOUNT %]])</f>
        <v>2135.64</v>
      </c>
      <c r="N111" s="7">
        <f>DAY(InputData[[#This Row],[DATE]])</f>
        <v>12</v>
      </c>
      <c r="O111" s="7" t="str">
        <f>TEXT(InputData[[#This Row],[DATE]],"MMM")</f>
        <v>Feb</v>
      </c>
      <c r="P111" s="7">
        <f>YEAR(InputData[[#This Row],[DATE]])</f>
        <v>2022</v>
      </c>
    </row>
    <row r="112" spans="1:16" x14ac:dyDescent="0.25">
      <c r="A112" s="3">
        <v>44697</v>
      </c>
      <c r="B112" s="4" t="s">
        <v>26</v>
      </c>
      <c r="C112" s="5">
        <v>13</v>
      </c>
      <c r="D112" s="5" t="s">
        <v>108</v>
      </c>
      <c r="E112" s="5" t="s">
        <v>107</v>
      </c>
      <c r="F112" s="6">
        <v>0</v>
      </c>
      <c r="G112" s="7" t="str">
        <f>VLOOKUP(InputData[[#This Row],[PRODUCT ID]],MasterData[],2,0)</f>
        <v>Cheese</v>
      </c>
      <c r="H112" s="7" t="str">
        <f>VLOOKUP(InputData[[#This Row],[PRODUCT ID]],MasterData[],3,0)</f>
        <v>Category02</v>
      </c>
      <c r="I112" s="7" t="str">
        <f>VLOOKUP(InputData[[#This Row],[PRODUCT ID]],MasterData[],4,0)</f>
        <v>Ft</v>
      </c>
      <c r="J112" s="7">
        <f>VLOOKUP(InputData[[#This Row],[PRODUCT ID]],MasterData[],5,0)</f>
        <v>148</v>
      </c>
      <c r="K112" s="8">
        <f>VLOOKUP(InputData[[#This Row],[PRODUCT ID]],MasterData[],6,0)</f>
        <v>164.28</v>
      </c>
      <c r="L112" s="8">
        <f>InputData[[#This Row],[BUYING PRIZE]]*InputData[[#This Row],[QUANTITY]]</f>
        <v>1924</v>
      </c>
      <c r="M112" s="8">
        <f>InputData[[#This Row],[SELLING PRICE]]*InputData[[#This Row],[QUANTITY]]*(1-InputData[[#This Row],[DISCOUNT %]])</f>
        <v>2135.64</v>
      </c>
      <c r="N112" s="7">
        <f>DAY(InputData[[#This Row],[DATE]])</f>
        <v>16</v>
      </c>
      <c r="O112" s="7" t="str">
        <f>TEXT(InputData[[#This Row],[DATE]],"MMM")</f>
        <v>May</v>
      </c>
      <c r="P112" s="7">
        <f>YEAR(InputData[[#This Row],[DATE]])</f>
        <v>2022</v>
      </c>
    </row>
    <row r="113" spans="1:16" x14ac:dyDescent="0.25">
      <c r="A113" s="3">
        <v>44709</v>
      </c>
      <c r="B113" s="4" t="s">
        <v>26</v>
      </c>
      <c r="C113" s="5">
        <v>9</v>
      </c>
      <c r="D113" s="5" t="s">
        <v>106</v>
      </c>
      <c r="E113" s="5" t="s">
        <v>107</v>
      </c>
      <c r="F113" s="6">
        <v>0</v>
      </c>
      <c r="G113" s="7" t="str">
        <f>VLOOKUP(InputData[[#This Row],[PRODUCT ID]],MasterData[],2,0)</f>
        <v>Cheese</v>
      </c>
      <c r="H113" s="7" t="str">
        <f>VLOOKUP(InputData[[#This Row],[PRODUCT ID]],MasterData[],3,0)</f>
        <v>Category02</v>
      </c>
      <c r="I113" s="7" t="str">
        <f>VLOOKUP(InputData[[#This Row],[PRODUCT ID]],MasterData[],4,0)</f>
        <v>Ft</v>
      </c>
      <c r="J113" s="7">
        <f>VLOOKUP(InputData[[#This Row],[PRODUCT ID]],MasterData[],5,0)</f>
        <v>148</v>
      </c>
      <c r="K113" s="8">
        <f>VLOOKUP(InputData[[#This Row],[PRODUCT ID]],MasterData[],6,0)</f>
        <v>164.28</v>
      </c>
      <c r="L113" s="8">
        <f>InputData[[#This Row],[BUYING PRIZE]]*InputData[[#This Row],[QUANTITY]]</f>
        <v>1332</v>
      </c>
      <c r="M113" s="8">
        <f>InputData[[#This Row],[SELLING PRICE]]*InputData[[#This Row],[QUANTITY]]*(1-InputData[[#This Row],[DISCOUNT %]])</f>
        <v>1478.52</v>
      </c>
      <c r="N113" s="7">
        <f>DAY(InputData[[#This Row],[DATE]])</f>
        <v>28</v>
      </c>
      <c r="O113" s="7" t="str">
        <f>TEXT(InputData[[#This Row],[DATE]],"MMM")</f>
        <v>May</v>
      </c>
      <c r="P113" s="7">
        <f>YEAR(InputData[[#This Row],[DATE]])</f>
        <v>2022</v>
      </c>
    </row>
    <row r="114" spans="1:16" x14ac:dyDescent="0.25">
      <c r="A114" s="3">
        <v>44760</v>
      </c>
      <c r="B114" s="4" t="s">
        <v>26</v>
      </c>
      <c r="C114" s="5">
        <v>12</v>
      </c>
      <c r="D114" s="5" t="s">
        <v>108</v>
      </c>
      <c r="E114" s="5" t="s">
        <v>106</v>
      </c>
      <c r="F114" s="6">
        <v>0</v>
      </c>
      <c r="G114" s="7" t="str">
        <f>VLOOKUP(InputData[[#This Row],[PRODUCT ID]],MasterData[],2,0)</f>
        <v>Cheese</v>
      </c>
      <c r="H114" s="7" t="str">
        <f>VLOOKUP(InputData[[#This Row],[PRODUCT ID]],MasterData[],3,0)</f>
        <v>Category02</v>
      </c>
      <c r="I114" s="7" t="str">
        <f>VLOOKUP(InputData[[#This Row],[PRODUCT ID]],MasterData[],4,0)</f>
        <v>Ft</v>
      </c>
      <c r="J114" s="7">
        <f>VLOOKUP(InputData[[#This Row],[PRODUCT ID]],MasterData[],5,0)</f>
        <v>148</v>
      </c>
      <c r="K114" s="8">
        <f>VLOOKUP(InputData[[#This Row],[PRODUCT ID]],MasterData[],6,0)</f>
        <v>164.28</v>
      </c>
      <c r="L114" s="8">
        <f>InputData[[#This Row],[BUYING PRIZE]]*InputData[[#This Row],[QUANTITY]]</f>
        <v>1776</v>
      </c>
      <c r="M114" s="8">
        <f>InputData[[#This Row],[SELLING PRICE]]*InputData[[#This Row],[QUANTITY]]*(1-InputData[[#This Row],[DISCOUNT %]])</f>
        <v>1971.3600000000001</v>
      </c>
      <c r="N114" s="7">
        <f>DAY(InputData[[#This Row],[DATE]])</f>
        <v>18</v>
      </c>
      <c r="O114" s="7" t="str">
        <f>TEXT(InputData[[#This Row],[DATE]],"MMM")</f>
        <v>Jul</v>
      </c>
      <c r="P114" s="7">
        <f>YEAR(InputData[[#This Row],[DATE]])</f>
        <v>2022</v>
      </c>
    </row>
    <row r="115" spans="1:16" x14ac:dyDescent="0.25">
      <c r="A115" s="3">
        <v>44791</v>
      </c>
      <c r="B115" s="4" t="s">
        <v>26</v>
      </c>
      <c r="C115" s="5">
        <v>2</v>
      </c>
      <c r="D115" s="5" t="s">
        <v>106</v>
      </c>
      <c r="E115" s="5" t="s">
        <v>107</v>
      </c>
      <c r="F115" s="6">
        <v>0</v>
      </c>
      <c r="G115" s="7" t="str">
        <f>VLOOKUP(InputData[[#This Row],[PRODUCT ID]],MasterData[],2,0)</f>
        <v>Cheese</v>
      </c>
      <c r="H115" s="7" t="str">
        <f>VLOOKUP(InputData[[#This Row],[PRODUCT ID]],MasterData[],3,0)</f>
        <v>Category02</v>
      </c>
      <c r="I115" s="7" t="str">
        <f>VLOOKUP(InputData[[#This Row],[PRODUCT ID]],MasterData[],4,0)</f>
        <v>Ft</v>
      </c>
      <c r="J115" s="7">
        <f>VLOOKUP(InputData[[#This Row],[PRODUCT ID]],MasterData[],5,0)</f>
        <v>148</v>
      </c>
      <c r="K115" s="8">
        <f>VLOOKUP(InputData[[#This Row],[PRODUCT ID]],MasterData[],6,0)</f>
        <v>164.28</v>
      </c>
      <c r="L115" s="8">
        <f>InputData[[#This Row],[BUYING PRIZE]]*InputData[[#This Row],[QUANTITY]]</f>
        <v>296</v>
      </c>
      <c r="M115" s="8">
        <f>InputData[[#This Row],[SELLING PRICE]]*InputData[[#This Row],[QUANTITY]]*(1-InputData[[#This Row],[DISCOUNT %]])</f>
        <v>328.56</v>
      </c>
      <c r="N115" s="7">
        <f>DAY(InputData[[#This Row],[DATE]])</f>
        <v>18</v>
      </c>
      <c r="O115" s="7" t="str">
        <f>TEXT(InputData[[#This Row],[DATE]],"MMM")</f>
        <v>Aug</v>
      </c>
      <c r="P115" s="7">
        <f>YEAR(InputData[[#This Row],[DATE]])</f>
        <v>2022</v>
      </c>
    </row>
    <row r="116" spans="1:16" x14ac:dyDescent="0.25">
      <c r="A116" s="3">
        <v>44258</v>
      </c>
      <c r="B116" s="4" t="s">
        <v>29</v>
      </c>
      <c r="C116" s="5">
        <v>1</v>
      </c>
      <c r="D116" s="5" t="s">
        <v>108</v>
      </c>
      <c r="E116" s="5" t="s">
        <v>106</v>
      </c>
      <c r="F116" s="6">
        <v>0</v>
      </c>
      <c r="G116" s="7" t="str">
        <f>VLOOKUP(InputData[[#This Row],[PRODUCT ID]],MasterData[],2,0)</f>
        <v>Olive Oil</v>
      </c>
      <c r="H116" s="7" t="str">
        <f>VLOOKUP(InputData[[#This Row],[PRODUCT ID]],MasterData[],3,0)</f>
        <v>Category02</v>
      </c>
      <c r="I116" s="7" t="str">
        <f>VLOOKUP(InputData[[#This Row],[PRODUCT ID]],MasterData[],4,0)</f>
        <v>Lt</v>
      </c>
      <c r="J116" s="7">
        <f>VLOOKUP(InputData[[#This Row],[PRODUCT ID]],MasterData[],5,0)</f>
        <v>44</v>
      </c>
      <c r="K116" s="8">
        <f>VLOOKUP(InputData[[#This Row],[PRODUCT ID]],MasterData[],6,0)</f>
        <v>48.4</v>
      </c>
      <c r="L116" s="8">
        <f>InputData[[#This Row],[BUYING PRIZE]]*InputData[[#This Row],[QUANTITY]]</f>
        <v>44</v>
      </c>
      <c r="M116" s="8">
        <f>InputData[[#This Row],[SELLING PRICE]]*InputData[[#This Row],[QUANTITY]]*(1-InputData[[#This Row],[DISCOUNT %]])</f>
        <v>48.4</v>
      </c>
      <c r="N116" s="7">
        <f>DAY(InputData[[#This Row],[DATE]])</f>
        <v>3</v>
      </c>
      <c r="O116" s="7" t="str">
        <f>TEXT(InputData[[#This Row],[DATE]],"MMM")</f>
        <v>Mar</v>
      </c>
      <c r="P116" s="7">
        <f>YEAR(InputData[[#This Row],[DATE]])</f>
        <v>2021</v>
      </c>
    </row>
    <row r="117" spans="1:16" x14ac:dyDescent="0.25">
      <c r="A117" s="3">
        <v>44371</v>
      </c>
      <c r="B117" s="4" t="s">
        <v>29</v>
      </c>
      <c r="C117" s="5">
        <v>13</v>
      </c>
      <c r="D117" s="5" t="s">
        <v>108</v>
      </c>
      <c r="E117" s="5" t="s">
        <v>106</v>
      </c>
      <c r="F117" s="6">
        <v>0</v>
      </c>
      <c r="G117" s="7" t="str">
        <f>VLOOKUP(InputData[[#This Row],[PRODUCT ID]],MasterData[],2,0)</f>
        <v>Olive Oil</v>
      </c>
      <c r="H117" s="7" t="str">
        <f>VLOOKUP(InputData[[#This Row],[PRODUCT ID]],MasterData[],3,0)</f>
        <v>Category02</v>
      </c>
      <c r="I117" s="7" t="str">
        <f>VLOOKUP(InputData[[#This Row],[PRODUCT ID]],MasterData[],4,0)</f>
        <v>Lt</v>
      </c>
      <c r="J117" s="7">
        <f>VLOOKUP(InputData[[#This Row],[PRODUCT ID]],MasterData[],5,0)</f>
        <v>44</v>
      </c>
      <c r="K117" s="8">
        <f>VLOOKUP(InputData[[#This Row],[PRODUCT ID]],MasterData[],6,0)</f>
        <v>48.4</v>
      </c>
      <c r="L117" s="8">
        <f>InputData[[#This Row],[BUYING PRIZE]]*InputData[[#This Row],[QUANTITY]]</f>
        <v>572</v>
      </c>
      <c r="M117" s="8">
        <f>InputData[[#This Row],[SELLING PRICE]]*InputData[[#This Row],[QUANTITY]]*(1-InputData[[#This Row],[DISCOUNT %]])</f>
        <v>629.19999999999993</v>
      </c>
      <c r="N117" s="7">
        <f>DAY(InputData[[#This Row],[DATE]])</f>
        <v>24</v>
      </c>
      <c r="O117" s="7" t="str">
        <f>TEXT(InputData[[#This Row],[DATE]],"MMM")</f>
        <v>Jun</v>
      </c>
      <c r="P117" s="7">
        <f>YEAR(InputData[[#This Row],[DATE]])</f>
        <v>2021</v>
      </c>
    </row>
    <row r="118" spans="1:16" x14ac:dyDescent="0.25">
      <c r="A118" s="3">
        <v>44421</v>
      </c>
      <c r="B118" s="4" t="s">
        <v>29</v>
      </c>
      <c r="C118" s="5">
        <v>13</v>
      </c>
      <c r="D118" s="5" t="s">
        <v>108</v>
      </c>
      <c r="E118" s="5" t="s">
        <v>106</v>
      </c>
      <c r="F118" s="6">
        <v>0</v>
      </c>
      <c r="G118" s="7" t="str">
        <f>VLOOKUP(InputData[[#This Row],[PRODUCT ID]],MasterData[],2,0)</f>
        <v>Olive Oil</v>
      </c>
      <c r="H118" s="7" t="str">
        <f>VLOOKUP(InputData[[#This Row],[PRODUCT ID]],MasterData[],3,0)</f>
        <v>Category02</v>
      </c>
      <c r="I118" s="7" t="str">
        <f>VLOOKUP(InputData[[#This Row],[PRODUCT ID]],MasterData[],4,0)</f>
        <v>Lt</v>
      </c>
      <c r="J118" s="7">
        <f>VLOOKUP(InputData[[#This Row],[PRODUCT ID]],MasterData[],5,0)</f>
        <v>44</v>
      </c>
      <c r="K118" s="8">
        <f>VLOOKUP(InputData[[#This Row],[PRODUCT ID]],MasterData[],6,0)</f>
        <v>48.4</v>
      </c>
      <c r="L118" s="8">
        <f>InputData[[#This Row],[BUYING PRIZE]]*InputData[[#This Row],[QUANTITY]]</f>
        <v>572</v>
      </c>
      <c r="M118" s="8">
        <f>InputData[[#This Row],[SELLING PRICE]]*InputData[[#This Row],[QUANTITY]]*(1-InputData[[#This Row],[DISCOUNT %]])</f>
        <v>629.19999999999993</v>
      </c>
      <c r="N118" s="7">
        <f>DAY(InputData[[#This Row],[DATE]])</f>
        <v>13</v>
      </c>
      <c r="O118" s="7" t="str">
        <f>TEXT(InputData[[#This Row],[DATE]],"MMM")</f>
        <v>Aug</v>
      </c>
      <c r="P118" s="7">
        <f>YEAR(InputData[[#This Row],[DATE]])</f>
        <v>2021</v>
      </c>
    </row>
    <row r="119" spans="1:16" x14ac:dyDescent="0.25">
      <c r="A119" s="3">
        <v>44480</v>
      </c>
      <c r="B119" s="4" t="s">
        <v>29</v>
      </c>
      <c r="C119" s="5">
        <v>15</v>
      </c>
      <c r="D119" s="5" t="s">
        <v>108</v>
      </c>
      <c r="E119" s="5" t="s">
        <v>107</v>
      </c>
      <c r="F119" s="6">
        <v>0</v>
      </c>
      <c r="G119" s="7" t="str">
        <f>VLOOKUP(InputData[[#This Row],[PRODUCT ID]],MasterData[],2,0)</f>
        <v>Olive Oil</v>
      </c>
      <c r="H119" s="7" t="str">
        <f>VLOOKUP(InputData[[#This Row],[PRODUCT ID]],MasterData[],3,0)</f>
        <v>Category02</v>
      </c>
      <c r="I119" s="7" t="str">
        <f>VLOOKUP(InputData[[#This Row],[PRODUCT ID]],MasterData[],4,0)</f>
        <v>Lt</v>
      </c>
      <c r="J119" s="7">
        <f>VLOOKUP(InputData[[#This Row],[PRODUCT ID]],MasterData[],5,0)</f>
        <v>44</v>
      </c>
      <c r="K119" s="8">
        <f>VLOOKUP(InputData[[#This Row],[PRODUCT ID]],MasterData[],6,0)</f>
        <v>48.4</v>
      </c>
      <c r="L119" s="8">
        <f>InputData[[#This Row],[BUYING PRIZE]]*InputData[[#This Row],[QUANTITY]]</f>
        <v>660</v>
      </c>
      <c r="M119" s="8">
        <f>InputData[[#This Row],[SELLING PRICE]]*InputData[[#This Row],[QUANTITY]]*(1-InputData[[#This Row],[DISCOUNT %]])</f>
        <v>726</v>
      </c>
      <c r="N119" s="7">
        <f>DAY(InputData[[#This Row],[DATE]])</f>
        <v>11</v>
      </c>
      <c r="O119" s="7" t="str">
        <f>TEXT(InputData[[#This Row],[DATE]],"MMM")</f>
        <v>Oct</v>
      </c>
      <c r="P119" s="7">
        <f>YEAR(InputData[[#This Row],[DATE]])</f>
        <v>2021</v>
      </c>
    </row>
    <row r="120" spans="1:16" x14ac:dyDescent="0.25">
      <c r="A120" s="3">
        <v>44491</v>
      </c>
      <c r="B120" s="4" t="s">
        <v>29</v>
      </c>
      <c r="C120" s="5">
        <v>7</v>
      </c>
      <c r="D120" s="5" t="s">
        <v>108</v>
      </c>
      <c r="E120" s="5" t="s">
        <v>107</v>
      </c>
      <c r="F120" s="6">
        <v>0</v>
      </c>
      <c r="G120" s="7" t="str">
        <f>VLOOKUP(InputData[[#This Row],[PRODUCT ID]],MasterData[],2,0)</f>
        <v>Olive Oil</v>
      </c>
      <c r="H120" s="7" t="str">
        <f>VLOOKUP(InputData[[#This Row],[PRODUCT ID]],MasterData[],3,0)</f>
        <v>Category02</v>
      </c>
      <c r="I120" s="7" t="str">
        <f>VLOOKUP(InputData[[#This Row],[PRODUCT ID]],MasterData[],4,0)</f>
        <v>Lt</v>
      </c>
      <c r="J120" s="7">
        <f>VLOOKUP(InputData[[#This Row],[PRODUCT ID]],MasterData[],5,0)</f>
        <v>44</v>
      </c>
      <c r="K120" s="8">
        <f>VLOOKUP(InputData[[#This Row],[PRODUCT ID]],MasterData[],6,0)</f>
        <v>48.4</v>
      </c>
      <c r="L120" s="8">
        <f>InputData[[#This Row],[BUYING PRIZE]]*InputData[[#This Row],[QUANTITY]]</f>
        <v>308</v>
      </c>
      <c r="M120" s="8">
        <f>InputData[[#This Row],[SELLING PRICE]]*InputData[[#This Row],[QUANTITY]]*(1-InputData[[#This Row],[DISCOUNT %]])</f>
        <v>338.8</v>
      </c>
      <c r="N120" s="7">
        <f>DAY(InputData[[#This Row],[DATE]])</f>
        <v>22</v>
      </c>
      <c r="O120" s="7" t="str">
        <f>TEXT(InputData[[#This Row],[DATE]],"MMM")</f>
        <v>Oct</v>
      </c>
      <c r="P120" s="7">
        <f>YEAR(InputData[[#This Row],[DATE]])</f>
        <v>2021</v>
      </c>
    </row>
    <row r="121" spans="1:16" x14ac:dyDescent="0.25">
      <c r="A121" s="3">
        <v>44493</v>
      </c>
      <c r="B121" s="4" t="s">
        <v>29</v>
      </c>
      <c r="C121" s="5">
        <v>3</v>
      </c>
      <c r="D121" s="5" t="s">
        <v>105</v>
      </c>
      <c r="E121" s="5" t="s">
        <v>107</v>
      </c>
      <c r="F121" s="6">
        <v>0</v>
      </c>
      <c r="G121" s="7" t="str">
        <f>VLOOKUP(InputData[[#This Row],[PRODUCT ID]],MasterData[],2,0)</f>
        <v>Olive Oil</v>
      </c>
      <c r="H121" s="7" t="str">
        <f>VLOOKUP(InputData[[#This Row],[PRODUCT ID]],MasterData[],3,0)</f>
        <v>Category02</v>
      </c>
      <c r="I121" s="7" t="str">
        <f>VLOOKUP(InputData[[#This Row],[PRODUCT ID]],MasterData[],4,0)</f>
        <v>Lt</v>
      </c>
      <c r="J121" s="7">
        <f>VLOOKUP(InputData[[#This Row],[PRODUCT ID]],MasterData[],5,0)</f>
        <v>44</v>
      </c>
      <c r="K121" s="8">
        <f>VLOOKUP(InputData[[#This Row],[PRODUCT ID]],MasterData[],6,0)</f>
        <v>48.4</v>
      </c>
      <c r="L121" s="8">
        <f>InputData[[#This Row],[BUYING PRIZE]]*InputData[[#This Row],[QUANTITY]]</f>
        <v>132</v>
      </c>
      <c r="M121" s="8">
        <f>InputData[[#This Row],[SELLING PRICE]]*InputData[[#This Row],[QUANTITY]]*(1-InputData[[#This Row],[DISCOUNT %]])</f>
        <v>145.19999999999999</v>
      </c>
      <c r="N121" s="7">
        <f>DAY(InputData[[#This Row],[DATE]])</f>
        <v>24</v>
      </c>
      <c r="O121" s="7" t="str">
        <f>TEXT(InputData[[#This Row],[DATE]],"MMM")</f>
        <v>Oct</v>
      </c>
      <c r="P121" s="7">
        <f>YEAR(InputData[[#This Row],[DATE]])</f>
        <v>2021</v>
      </c>
    </row>
    <row r="122" spans="1:16" x14ac:dyDescent="0.25">
      <c r="A122" s="3">
        <v>44549</v>
      </c>
      <c r="B122" s="4" t="s">
        <v>29</v>
      </c>
      <c r="C122" s="5">
        <v>10</v>
      </c>
      <c r="D122" s="5" t="s">
        <v>106</v>
      </c>
      <c r="E122" s="5" t="s">
        <v>106</v>
      </c>
      <c r="F122" s="6">
        <v>0</v>
      </c>
      <c r="G122" s="7" t="str">
        <f>VLOOKUP(InputData[[#This Row],[PRODUCT ID]],MasterData[],2,0)</f>
        <v>Olive Oil</v>
      </c>
      <c r="H122" s="7" t="str">
        <f>VLOOKUP(InputData[[#This Row],[PRODUCT ID]],MasterData[],3,0)</f>
        <v>Category02</v>
      </c>
      <c r="I122" s="7" t="str">
        <f>VLOOKUP(InputData[[#This Row],[PRODUCT ID]],MasterData[],4,0)</f>
        <v>Lt</v>
      </c>
      <c r="J122" s="7">
        <f>VLOOKUP(InputData[[#This Row],[PRODUCT ID]],MasterData[],5,0)</f>
        <v>44</v>
      </c>
      <c r="K122" s="8">
        <f>VLOOKUP(InputData[[#This Row],[PRODUCT ID]],MasterData[],6,0)</f>
        <v>48.4</v>
      </c>
      <c r="L122" s="8">
        <f>InputData[[#This Row],[BUYING PRIZE]]*InputData[[#This Row],[QUANTITY]]</f>
        <v>440</v>
      </c>
      <c r="M122" s="8">
        <f>InputData[[#This Row],[SELLING PRICE]]*InputData[[#This Row],[QUANTITY]]*(1-InputData[[#This Row],[DISCOUNT %]])</f>
        <v>484</v>
      </c>
      <c r="N122" s="7">
        <f>DAY(InputData[[#This Row],[DATE]])</f>
        <v>19</v>
      </c>
      <c r="O122" s="7" t="str">
        <f>TEXT(InputData[[#This Row],[DATE]],"MMM")</f>
        <v>Dec</v>
      </c>
      <c r="P122" s="7">
        <f>YEAR(InputData[[#This Row],[DATE]])</f>
        <v>2021</v>
      </c>
    </row>
    <row r="123" spans="1:16" x14ac:dyDescent="0.25">
      <c r="A123" s="3">
        <v>44575</v>
      </c>
      <c r="B123" s="4" t="s">
        <v>29</v>
      </c>
      <c r="C123" s="5">
        <v>14</v>
      </c>
      <c r="D123" s="5" t="s">
        <v>108</v>
      </c>
      <c r="E123" s="5" t="s">
        <v>106</v>
      </c>
      <c r="F123" s="6">
        <v>0</v>
      </c>
      <c r="G123" s="7" t="str">
        <f>VLOOKUP(InputData[[#This Row],[PRODUCT ID]],MasterData[],2,0)</f>
        <v>Olive Oil</v>
      </c>
      <c r="H123" s="7" t="str">
        <f>VLOOKUP(InputData[[#This Row],[PRODUCT ID]],MasterData[],3,0)</f>
        <v>Category02</v>
      </c>
      <c r="I123" s="7" t="str">
        <f>VLOOKUP(InputData[[#This Row],[PRODUCT ID]],MasterData[],4,0)</f>
        <v>Lt</v>
      </c>
      <c r="J123" s="7">
        <f>VLOOKUP(InputData[[#This Row],[PRODUCT ID]],MasterData[],5,0)</f>
        <v>44</v>
      </c>
      <c r="K123" s="8">
        <f>VLOOKUP(InputData[[#This Row],[PRODUCT ID]],MasterData[],6,0)</f>
        <v>48.4</v>
      </c>
      <c r="L123" s="8">
        <f>InputData[[#This Row],[BUYING PRIZE]]*InputData[[#This Row],[QUANTITY]]</f>
        <v>616</v>
      </c>
      <c r="M123" s="8">
        <f>InputData[[#This Row],[SELLING PRICE]]*InputData[[#This Row],[QUANTITY]]*(1-InputData[[#This Row],[DISCOUNT %]])</f>
        <v>677.6</v>
      </c>
      <c r="N123" s="7">
        <f>DAY(InputData[[#This Row],[DATE]])</f>
        <v>14</v>
      </c>
      <c r="O123" s="7" t="str">
        <f>TEXT(InputData[[#This Row],[DATE]],"MMM")</f>
        <v>Jan</v>
      </c>
      <c r="P123" s="7">
        <f>YEAR(InputData[[#This Row],[DATE]])</f>
        <v>2022</v>
      </c>
    </row>
    <row r="124" spans="1:16" x14ac:dyDescent="0.25">
      <c r="A124" s="3">
        <v>44693</v>
      </c>
      <c r="B124" s="4" t="s">
        <v>29</v>
      </c>
      <c r="C124" s="5">
        <v>7</v>
      </c>
      <c r="D124" s="5" t="s">
        <v>106</v>
      </c>
      <c r="E124" s="5" t="s">
        <v>107</v>
      </c>
      <c r="F124" s="6">
        <v>0</v>
      </c>
      <c r="G124" s="7" t="str">
        <f>VLOOKUP(InputData[[#This Row],[PRODUCT ID]],MasterData[],2,0)</f>
        <v>Olive Oil</v>
      </c>
      <c r="H124" s="7" t="str">
        <f>VLOOKUP(InputData[[#This Row],[PRODUCT ID]],MasterData[],3,0)</f>
        <v>Category02</v>
      </c>
      <c r="I124" s="7" t="str">
        <f>VLOOKUP(InputData[[#This Row],[PRODUCT ID]],MasterData[],4,0)</f>
        <v>Lt</v>
      </c>
      <c r="J124" s="7">
        <f>VLOOKUP(InputData[[#This Row],[PRODUCT ID]],MasterData[],5,0)</f>
        <v>44</v>
      </c>
      <c r="K124" s="8">
        <f>VLOOKUP(InputData[[#This Row],[PRODUCT ID]],MasterData[],6,0)</f>
        <v>48.4</v>
      </c>
      <c r="L124" s="8">
        <f>InputData[[#This Row],[BUYING PRIZE]]*InputData[[#This Row],[QUANTITY]]</f>
        <v>308</v>
      </c>
      <c r="M124" s="8">
        <f>InputData[[#This Row],[SELLING PRICE]]*InputData[[#This Row],[QUANTITY]]*(1-InputData[[#This Row],[DISCOUNT %]])</f>
        <v>338.8</v>
      </c>
      <c r="N124" s="7">
        <f>DAY(InputData[[#This Row],[DATE]])</f>
        <v>12</v>
      </c>
      <c r="O124" s="7" t="str">
        <f>TEXT(InputData[[#This Row],[DATE]],"MMM")</f>
        <v>May</v>
      </c>
      <c r="P124" s="7">
        <f>YEAR(InputData[[#This Row],[DATE]])</f>
        <v>2022</v>
      </c>
    </row>
    <row r="125" spans="1:16" x14ac:dyDescent="0.25">
      <c r="A125" s="3">
        <v>44788</v>
      </c>
      <c r="B125" s="4" t="s">
        <v>29</v>
      </c>
      <c r="C125" s="5">
        <v>10</v>
      </c>
      <c r="D125" s="5" t="s">
        <v>105</v>
      </c>
      <c r="E125" s="5" t="s">
        <v>107</v>
      </c>
      <c r="F125" s="6">
        <v>0</v>
      </c>
      <c r="G125" s="7" t="str">
        <f>VLOOKUP(InputData[[#This Row],[PRODUCT ID]],MasterData[],2,0)</f>
        <v>Olive Oil</v>
      </c>
      <c r="H125" s="7" t="str">
        <f>VLOOKUP(InputData[[#This Row],[PRODUCT ID]],MasterData[],3,0)</f>
        <v>Category02</v>
      </c>
      <c r="I125" s="7" t="str">
        <f>VLOOKUP(InputData[[#This Row],[PRODUCT ID]],MasterData[],4,0)</f>
        <v>Lt</v>
      </c>
      <c r="J125" s="7">
        <f>VLOOKUP(InputData[[#This Row],[PRODUCT ID]],MasterData[],5,0)</f>
        <v>44</v>
      </c>
      <c r="K125" s="8">
        <f>VLOOKUP(InputData[[#This Row],[PRODUCT ID]],MasterData[],6,0)</f>
        <v>48.4</v>
      </c>
      <c r="L125" s="8">
        <f>InputData[[#This Row],[BUYING PRIZE]]*InputData[[#This Row],[QUANTITY]]</f>
        <v>440</v>
      </c>
      <c r="M125" s="8">
        <f>InputData[[#This Row],[SELLING PRICE]]*InputData[[#This Row],[QUANTITY]]*(1-InputData[[#This Row],[DISCOUNT %]])</f>
        <v>484</v>
      </c>
      <c r="N125" s="7">
        <f>DAY(InputData[[#This Row],[DATE]])</f>
        <v>15</v>
      </c>
      <c r="O125" s="7" t="str">
        <f>TEXT(InputData[[#This Row],[DATE]],"MMM")</f>
        <v>Aug</v>
      </c>
      <c r="P125" s="7">
        <f>YEAR(InputData[[#This Row],[DATE]])</f>
        <v>2022</v>
      </c>
    </row>
    <row r="126" spans="1:16" x14ac:dyDescent="0.25">
      <c r="A126" s="3">
        <v>44837</v>
      </c>
      <c r="B126" s="4" t="s">
        <v>29</v>
      </c>
      <c r="C126" s="5">
        <v>5</v>
      </c>
      <c r="D126" s="5" t="s">
        <v>108</v>
      </c>
      <c r="E126" s="5" t="s">
        <v>107</v>
      </c>
      <c r="F126" s="6">
        <v>0</v>
      </c>
      <c r="G126" s="7" t="str">
        <f>VLOOKUP(InputData[[#This Row],[PRODUCT ID]],MasterData[],2,0)</f>
        <v>Olive Oil</v>
      </c>
      <c r="H126" s="7" t="str">
        <f>VLOOKUP(InputData[[#This Row],[PRODUCT ID]],MasterData[],3,0)</f>
        <v>Category02</v>
      </c>
      <c r="I126" s="7" t="str">
        <f>VLOOKUP(InputData[[#This Row],[PRODUCT ID]],MasterData[],4,0)</f>
        <v>Lt</v>
      </c>
      <c r="J126" s="7">
        <f>VLOOKUP(InputData[[#This Row],[PRODUCT ID]],MasterData[],5,0)</f>
        <v>44</v>
      </c>
      <c r="K126" s="8">
        <f>VLOOKUP(InputData[[#This Row],[PRODUCT ID]],MasterData[],6,0)</f>
        <v>48.4</v>
      </c>
      <c r="L126" s="8">
        <f>InputData[[#This Row],[BUYING PRIZE]]*InputData[[#This Row],[QUANTITY]]</f>
        <v>220</v>
      </c>
      <c r="M126" s="8">
        <f>InputData[[#This Row],[SELLING PRICE]]*InputData[[#This Row],[QUANTITY]]*(1-InputData[[#This Row],[DISCOUNT %]])</f>
        <v>242</v>
      </c>
      <c r="N126" s="7">
        <f>DAY(InputData[[#This Row],[DATE]])</f>
        <v>3</v>
      </c>
      <c r="O126" s="7" t="str">
        <f>TEXT(InputData[[#This Row],[DATE]],"MMM")</f>
        <v>Oct</v>
      </c>
      <c r="P126" s="7">
        <f>YEAR(InputData[[#This Row],[DATE]])</f>
        <v>2022</v>
      </c>
    </row>
    <row r="127" spans="1:16" x14ac:dyDescent="0.25">
      <c r="A127" s="3">
        <v>44914</v>
      </c>
      <c r="B127" s="4" t="s">
        <v>29</v>
      </c>
      <c r="C127" s="5">
        <v>14</v>
      </c>
      <c r="D127" s="5" t="s">
        <v>108</v>
      </c>
      <c r="E127" s="5" t="s">
        <v>107</v>
      </c>
      <c r="F127" s="6">
        <v>0</v>
      </c>
      <c r="G127" s="7" t="str">
        <f>VLOOKUP(InputData[[#This Row],[PRODUCT ID]],MasterData[],2,0)</f>
        <v>Olive Oil</v>
      </c>
      <c r="H127" s="7" t="str">
        <f>VLOOKUP(InputData[[#This Row],[PRODUCT ID]],MasterData[],3,0)</f>
        <v>Category02</v>
      </c>
      <c r="I127" s="7" t="str">
        <f>VLOOKUP(InputData[[#This Row],[PRODUCT ID]],MasterData[],4,0)</f>
        <v>Lt</v>
      </c>
      <c r="J127" s="7">
        <f>VLOOKUP(InputData[[#This Row],[PRODUCT ID]],MasterData[],5,0)</f>
        <v>44</v>
      </c>
      <c r="K127" s="8">
        <f>VLOOKUP(InputData[[#This Row],[PRODUCT ID]],MasterData[],6,0)</f>
        <v>48.4</v>
      </c>
      <c r="L127" s="8">
        <f>InputData[[#This Row],[BUYING PRIZE]]*InputData[[#This Row],[QUANTITY]]</f>
        <v>616</v>
      </c>
      <c r="M127" s="8">
        <f>InputData[[#This Row],[SELLING PRICE]]*InputData[[#This Row],[QUANTITY]]*(1-InputData[[#This Row],[DISCOUNT %]])</f>
        <v>677.6</v>
      </c>
      <c r="N127" s="7">
        <f>DAY(InputData[[#This Row],[DATE]])</f>
        <v>19</v>
      </c>
      <c r="O127" s="7" t="str">
        <f>TEXT(InputData[[#This Row],[DATE]],"MMM")</f>
        <v>Dec</v>
      </c>
      <c r="P127" s="7">
        <f>YEAR(InputData[[#This Row],[DATE]])</f>
        <v>2022</v>
      </c>
    </row>
    <row r="128" spans="1:16" x14ac:dyDescent="0.25">
      <c r="A128" s="3">
        <v>44926</v>
      </c>
      <c r="B128" s="4" t="s">
        <v>29</v>
      </c>
      <c r="C128" s="5">
        <v>6</v>
      </c>
      <c r="D128" s="5" t="s">
        <v>106</v>
      </c>
      <c r="E128" s="5" t="s">
        <v>106</v>
      </c>
      <c r="F128" s="6">
        <v>0</v>
      </c>
      <c r="G128" s="7" t="str">
        <f>VLOOKUP(InputData[[#This Row],[PRODUCT ID]],MasterData[],2,0)</f>
        <v>Olive Oil</v>
      </c>
      <c r="H128" s="7" t="str">
        <f>VLOOKUP(InputData[[#This Row],[PRODUCT ID]],MasterData[],3,0)</f>
        <v>Category02</v>
      </c>
      <c r="I128" s="7" t="str">
        <f>VLOOKUP(InputData[[#This Row],[PRODUCT ID]],MasterData[],4,0)</f>
        <v>Lt</v>
      </c>
      <c r="J128" s="7">
        <f>VLOOKUP(InputData[[#This Row],[PRODUCT ID]],MasterData[],5,0)</f>
        <v>44</v>
      </c>
      <c r="K128" s="8">
        <f>VLOOKUP(InputData[[#This Row],[PRODUCT ID]],MasterData[],6,0)</f>
        <v>48.4</v>
      </c>
      <c r="L128" s="8">
        <f>InputData[[#This Row],[BUYING PRIZE]]*InputData[[#This Row],[QUANTITY]]</f>
        <v>264</v>
      </c>
      <c r="M128" s="8">
        <f>InputData[[#This Row],[SELLING PRICE]]*InputData[[#This Row],[QUANTITY]]*(1-InputData[[#This Row],[DISCOUNT %]])</f>
        <v>290.39999999999998</v>
      </c>
      <c r="N128" s="7">
        <f>DAY(InputData[[#This Row],[DATE]])</f>
        <v>31</v>
      </c>
      <c r="O128" s="7" t="str">
        <f>TEXT(InputData[[#This Row],[DATE]],"MMM")</f>
        <v>Dec</v>
      </c>
      <c r="P128" s="7">
        <f>YEAR(InputData[[#This Row],[DATE]])</f>
        <v>2022</v>
      </c>
    </row>
    <row r="129" spans="1:16" x14ac:dyDescent="0.25">
      <c r="A129" s="3">
        <v>44926</v>
      </c>
      <c r="B129" s="4" t="s">
        <v>29</v>
      </c>
      <c r="C129" s="5">
        <v>3</v>
      </c>
      <c r="D129" s="5" t="s">
        <v>105</v>
      </c>
      <c r="E129" s="5" t="s">
        <v>107</v>
      </c>
      <c r="F129" s="6">
        <v>0</v>
      </c>
      <c r="G129" s="7" t="str">
        <f>VLOOKUP(InputData[[#This Row],[PRODUCT ID]],MasterData[],2,0)</f>
        <v>Olive Oil</v>
      </c>
      <c r="H129" s="7" t="str">
        <f>VLOOKUP(InputData[[#This Row],[PRODUCT ID]],MasterData[],3,0)</f>
        <v>Category02</v>
      </c>
      <c r="I129" s="7" t="str">
        <f>VLOOKUP(InputData[[#This Row],[PRODUCT ID]],MasterData[],4,0)</f>
        <v>Lt</v>
      </c>
      <c r="J129" s="7">
        <f>VLOOKUP(InputData[[#This Row],[PRODUCT ID]],MasterData[],5,0)</f>
        <v>44</v>
      </c>
      <c r="K129" s="8">
        <f>VLOOKUP(InputData[[#This Row],[PRODUCT ID]],MasterData[],6,0)</f>
        <v>48.4</v>
      </c>
      <c r="L129" s="8">
        <f>InputData[[#This Row],[BUYING PRIZE]]*InputData[[#This Row],[QUANTITY]]</f>
        <v>132</v>
      </c>
      <c r="M129" s="8">
        <f>InputData[[#This Row],[SELLING PRICE]]*InputData[[#This Row],[QUANTITY]]*(1-InputData[[#This Row],[DISCOUNT %]])</f>
        <v>145.19999999999999</v>
      </c>
      <c r="N129" s="7">
        <f>DAY(InputData[[#This Row],[DATE]])</f>
        <v>31</v>
      </c>
      <c r="O129" s="7" t="str">
        <f>TEXT(InputData[[#This Row],[DATE]],"MMM")</f>
        <v>Dec</v>
      </c>
      <c r="P129" s="7">
        <f>YEAR(InputData[[#This Row],[DATE]])</f>
        <v>2022</v>
      </c>
    </row>
    <row r="130" spans="1:16" x14ac:dyDescent="0.25">
      <c r="A130" s="3">
        <v>44271</v>
      </c>
      <c r="B130" s="4" t="s">
        <v>31</v>
      </c>
      <c r="C130" s="5">
        <v>14</v>
      </c>
      <c r="D130" s="5" t="s">
        <v>108</v>
      </c>
      <c r="E130" s="5" t="s">
        <v>107</v>
      </c>
      <c r="F130" s="6">
        <v>0</v>
      </c>
      <c r="G130" s="7" t="str">
        <f>VLOOKUP(InputData[[#This Row],[PRODUCT ID]],MasterData[],2,0)</f>
        <v>Green chilly</v>
      </c>
      <c r="H130" s="7" t="str">
        <f>VLOOKUP(InputData[[#This Row],[PRODUCT ID]],MasterData[],3,0)</f>
        <v>Category02</v>
      </c>
      <c r="I130" s="7" t="str">
        <f>VLOOKUP(InputData[[#This Row],[PRODUCT ID]],MasterData[],4,0)</f>
        <v>Kg</v>
      </c>
      <c r="J130" s="7">
        <f>VLOOKUP(InputData[[#This Row],[PRODUCT ID]],MasterData[],5,0)</f>
        <v>73</v>
      </c>
      <c r="K130" s="8">
        <f>VLOOKUP(InputData[[#This Row],[PRODUCT ID]],MasterData[],6,0)</f>
        <v>94.17</v>
      </c>
      <c r="L130" s="8">
        <f>InputData[[#This Row],[BUYING PRIZE]]*InputData[[#This Row],[QUANTITY]]</f>
        <v>1022</v>
      </c>
      <c r="M130" s="8">
        <f>InputData[[#This Row],[SELLING PRICE]]*InputData[[#This Row],[QUANTITY]]*(1-InputData[[#This Row],[DISCOUNT %]])</f>
        <v>1318.38</v>
      </c>
      <c r="N130" s="7">
        <f>DAY(InputData[[#This Row],[DATE]])</f>
        <v>16</v>
      </c>
      <c r="O130" s="7" t="str">
        <f>TEXT(InputData[[#This Row],[DATE]],"MMM")</f>
        <v>Mar</v>
      </c>
      <c r="P130" s="7">
        <f>YEAR(InputData[[#This Row],[DATE]])</f>
        <v>2021</v>
      </c>
    </row>
    <row r="131" spans="1:16" x14ac:dyDescent="0.25">
      <c r="A131" s="3">
        <v>44277</v>
      </c>
      <c r="B131" s="4" t="s">
        <v>31</v>
      </c>
      <c r="C131" s="5">
        <v>4</v>
      </c>
      <c r="D131" s="5" t="s">
        <v>106</v>
      </c>
      <c r="E131" s="5" t="s">
        <v>106</v>
      </c>
      <c r="F131" s="6">
        <v>0</v>
      </c>
      <c r="G131" s="7" t="str">
        <f>VLOOKUP(InputData[[#This Row],[PRODUCT ID]],MasterData[],2,0)</f>
        <v>Green chilly</v>
      </c>
      <c r="H131" s="7" t="str">
        <f>VLOOKUP(InputData[[#This Row],[PRODUCT ID]],MasterData[],3,0)</f>
        <v>Category02</v>
      </c>
      <c r="I131" s="7" t="str">
        <f>VLOOKUP(InputData[[#This Row],[PRODUCT ID]],MasterData[],4,0)</f>
        <v>Kg</v>
      </c>
      <c r="J131" s="7">
        <f>VLOOKUP(InputData[[#This Row],[PRODUCT ID]],MasterData[],5,0)</f>
        <v>73</v>
      </c>
      <c r="K131" s="8">
        <f>VLOOKUP(InputData[[#This Row],[PRODUCT ID]],MasterData[],6,0)</f>
        <v>94.17</v>
      </c>
      <c r="L131" s="8">
        <f>InputData[[#This Row],[BUYING PRIZE]]*InputData[[#This Row],[QUANTITY]]</f>
        <v>292</v>
      </c>
      <c r="M131" s="8">
        <f>InputData[[#This Row],[SELLING PRICE]]*InputData[[#This Row],[QUANTITY]]*(1-InputData[[#This Row],[DISCOUNT %]])</f>
        <v>376.68</v>
      </c>
      <c r="N131" s="7">
        <f>DAY(InputData[[#This Row],[DATE]])</f>
        <v>22</v>
      </c>
      <c r="O131" s="7" t="str">
        <f>TEXT(InputData[[#This Row],[DATE]],"MMM")</f>
        <v>Mar</v>
      </c>
      <c r="P131" s="7">
        <f>YEAR(InputData[[#This Row],[DATE]])</f>
        <v>2021</v>
      </c>
    </row>
    <row r="132" spans="1:16" x14ac:dyDescent="0.25">
      <c r="A132" s="3">
        <v>44527</v>
      </c>
      <c r="B132" s="4" t="s">
        <v>31</v>
      </c>
      <c r="C132" s="5">
        <v>8</v>
      </c>
      <c r="D132" s="5" t="s">
        <v>106</v>
      </c>
      <c r="E132" s="5" t="s">
        <v>106</v>
      </c>
      <c r="F132" s="6">
        <v>0</v>
      </c>
      <c r="G132" s="7" t="str">
        <f>VLOOKUP(InputData[[#This Row],[PRODUCT ID]],MasterData[],2,0)</f>
        <v>Green chilly</v>
      </c>
      <c r="H132" s="7" t="str">
        <f>VLOOKUP(InputData[[#This Row],[PRODUCT ID]],MasterData[],3,0)</f>
        <v>Category02</v>
      </c>
      <c r="I132" s="7" t="str">
        <f>VLOOKUP(InputData[[#This Row],[PRODUCT ID]],MasterData[],4,0)</f>
        <v>Kg</v>
      </c>
      <c r="J132" s="7">
        <f>VLOOKUP(InputData[[#This Row],[PRODUCT ID]],MasterData[],5,0)</f>
        <v>73</v>
      </c>
      <c r="K132" s="8">
        <f>VLOOKUP(InputData[[#This Row],[PRODUCT ID]],MasterData[],6,0)</f>
        <v>94.17</v>
      </c>
      <c r="L132" s="8">
        <f>InputData[[#This Row],[BUYING PRIZE]]*InputData[[#This Row],[QUANTITY]]</f>
        <v>584</v>
      </c>
      <c r="M132" s="8">
        <f>InputData[[#This Row],[SELLING PRICE]]*InputData[[#This Row],[QUANTITY]]*(1-InputData[[#This Row],[DISCOUNT %]])</f>
        <v>753.36</v>
      </c>
      <c r="N132" s="7">
        <f>DAY(InputData[[#This Row],[DATE]])</f>
        <v>27</v>
      </c>
      <c r="O132" s="7" t="str">
        <f>TEXT(InputData[[#This Row],[DATE]],"MMM")</f>
        <v>Nov</v>
      </c>
      <c r="P132" s="7">
        <f>YEAR(InputData[[#This Row],[DATE]])</f>
        <v>2021</v>
      </c>
    </row>
    <row r="133" spans="1:16" x14ac:dyDescent="0.25">
      <c r="A133" s="3">
        <v>44550</v>
      </c>
      <c r="B133" s="4" t="s">
        <v>31</v>
      </c>
      <c r="C133" s="5">
        <v>14</v>
      </c>
      <c r="D133" s="5" t="s">
        <v>108</v>
      </c>
      <c r="E133" s="5" t="s">
        <v>106</v>
      </c>
      <c r="F133" s="6">
        <v>0</v>
      </c>
      <c r="G133" s="7" t="str">
        <f>VLOOKUP(InputData[[#This Row],[PRODUCT ID]],MasterData[],2,0)</f>
        <v>Green chilly</v>
      </c>
      <c r="H133" s="7" t="str">
        <f>VLOOKUP(InputData[[#This Row],[PRODUCT ID]],MasterData[],3,0)</f>
        <v>Category02</v>
      </c>
      <c r="I133" s="7" t="str">
        <f>VLOOKUP(InputData[[#This Row],[PRODUCT ID]],MasterData[],4,0)</f>
        <v>Kg</v>
      </c>
      <c r="J133" s="7">
        <f>VLOOKUP(InputData[[#This Row],[PRODUCT ID]],MasterData[],5,0)</f>
        <v>73</v>
      </c>
      <c r="K133" s="8">
        <f>VLOOKUP(InputData[[#This Row],[PRODUCT ID]],MasterData[],6,0)</f>
        <v>94.17</v>
      </c>
      <c r="L133" s="8">
        <f>InputData[[#This Row],[BUYING PRIZE]]*InputData[[#This Row],[QUANTITY]]</f>
        <v>1022</v>
      </c>
      <c r="M133" s="8">
        <f>InputData[[#This Row],[SELLING PRICE]]*InputData[[#This Row],[QUANTITY]]*(1-InputData[[#This Row],[DISCOUNT %]])</f>
        <v>1318.38</v>
      </c>
      <c r="N133" s="7">
        <f>DAY(InputData[[#This Row],[DATE]])</f>
        <v>20</v>
      </c>
      <c r="O133" s="7" t="str">
        <f>TEXT(InputData[[#This Row],[DATE]],"MMM")</f>
        <v>Dec</v>
      </c>
      <c r="P133" s="7">
        <f>YEAR(InputData[[#This Row],[DATE]])</f>
        <v>2021</v>
      </c>
    </row>
    <row r="134" spans="1:16" x14ac:dyDescent="0.25">
      <c r="A134" s="3">
        <v>44565</v>
      </c>
      <c r="B134" s="4" t="s">
        <v>31</v>
      </c>
      <c r="C134" s="5">
        <v>8</v>
      </c>
      <c r="D134" s="5" t="s">
        <v>108</v>
      </c>
      <c r="E134" s="5" t="s">
        <v>106</v>
      </c>
      <c r="F134" s="6">
        <v>0</v>
      </c>
      <c r="G134" s="7" t="str">
        <f>VLOOKUP(InputData[[#This Row],[PRODUCT ID]],MasterData[],2,0)</f>
        <v>Green chilly</v>
      </c>
      <c r="H134" s="7" t="str">
        <f>VLOOKUP(InputData[[#This Row],[PRODUCT ID]],MasterData[],3,0)</f>
        <v>Category02</v>
      </c>
      <c r="I134" s="7" t="str">
        <f>VLOOKUP(InputData[[#This Row],[PRODUCT ID]],MasterData[],4,0)</f>
        <v>Kg</v>
      </c>
      <c r="J134" s="7">
        <f>VLOOKUP(InputData[[#This Row],[PRODUCT ID]],MasterData[],5,0)</f>
        <v>73</v>
      </c>
      <c r="K134" s="8">
        <f>VLOOKUP(InputData[[#This Row],[PRODUCT ID]],MasterData[],6,0)</f>
        <v>94.17</v>
      </c>
      <c r="L134" s="8">
        <f>InputData[[#This Row],[BUYING PRIZE]]*InputData[[#This Row],[QUANTITY]]</f>
        <v>584</v>
      </c>
      <c r="M134" s="8">
        <f>InputData[[#This Row],[SELLING PRICE]]*InputData[[#This Row],[QUANTITY]]*(1-InputData[[#This Row],[DISCOUNT %]])</f>
        <v>753.36</v>
      </c>
      <c r="N134" s="7">
        <f>DAY(InputData[[#This Row],[DATE]])</f>
        <v>4</v>
      </c>
      <c r="O134" s="7" t="str">
        <f>TEXT(InputData[[#This Row],[DATE]],"MMM")</f>
        <v>Jan</v>
      </c>
      <c r="P134" s="7">
        <f>YEAR(InputData[[#This Row],[DATE]])</f>
        <v>2022</v>
      </c>
    </row>
    <row r="135" spans="1:16" x14ac:dyDescent="0.25">
      <c r="A135" s="3">
        <v>44612</v>
      </c>
      <c r="B135" s="4" t="s">
        <v>31</v>
      </c>
      <c r="C135" s="5">
        <v>6</v>
      </c>
      <c r="D135" s="5" t="s">
        <v>108</v>
      </c>
      <c r="E135" s="5" t="s">
        <v>107</v>
      </c>
      <c r="F135" s="6">
        <v>0</v>
      </c>
      <c r="G135" s="7" t="str">
        <f>VLOOKUP(InputData[[#This Row],[PRODUCT ID]],MasterData[],2,0)</f>
        <v>Green chilly</v>
      </c>
      <c r="H135" s="7" t="str">
        <f>VLOOKUP(InputData[[#This Row],[PRODUCT ID]],MasterData[],3,0)</f>
        <v>Category02</v>
      </c>
      <c r="I135" s="7" t="str">
        <f>VLOOKUP(InputData[[#This Row],[PRODUCT ID]],MasterData[],4,0)</f>
        <v>Kg</v>
      </c>
      <c r="J135" s="7">
        <f>VLOOKUP(InputData[[#This Row],[PRODUCT ID]],MasterData[],5,0)</f>
        <v>73</v>
      </c>
      <c r="K135" s="8">
        <f>VLOOKUP(InputData[[#This Row],[PRODUCT ID]],MasterData[],6,0)</f>
        <v>94.17</v>
      </c>
      <c r="L135" s="8">
        <f>InputData[[#This Row],[BUYING PRIZE]]*InputData[[#This Row],[QUANTITY]]</f>
        <v>438</v>
      </c>
      <c r="M135" s="8">
        <f>InputData[[#This Row],[SELLING PRICE]]*InputData[[#This Row],[QUANTITY]]*(1-InputData[[#This Row],[DISCOUNT %]])</f>
        <v>565.02</v>
      </c>
      <c r="N135" s="7">
        <f>DAY(InputData[[#This Row],[DATE]])</f>
        <v>20</v>
      </c>
      <c r="O135" s="7" t="str">
        <f>TEXT(InputData[[#This Row],[DATE]],"MMM")</f>
        <v>Feb</v>
      </c>
      <c r="P135" s="7">
        <f>YEAR(InputData[[#This Row],[DATE]])</f>
        <v>2022</v>
      </c>
    </row>
    <row r="136" spans="1:16" x14ac:dyDescent="0.25">
      <c r="A136" s="3">
        <v>44619</v>
      </c>
      <c r="B136" s="4" t="s">
        <v>31</v>
      </c>
      <c r="C136" s="5">
        <v>7</v>
      </c>
      <c r="D136" s="5" t="s">
        <v>108</v>
      </c>
      <c r="E136" s="5" t="s">
        <v>107</v>
      </c>
      <c r="F136" s="6">
        <v>0</v>
      </c>
      <c r="G136" s="7" t="str">
        <f>VLOOKUP(InputData[[#This Row],[PRODUCT ID]],MasterData[],2,0)</f>
        <v>Green chilly</v>
      </c>
      <c r="H136" s="7" t="str">
        <f>VLOOKUP(InputData[[#This Row],[PRODUCT ID]],MasterData[],3,0)</f>
        <v>Category02</v>
      </c>
      <c r="I136" s="7" t="str">
        <f>VLOOKUP(InputData[[#This Row],[PRODUCT ID]],MasterData[],4,0)</f>
        <v>Kg</v>
      </c>
      <c r="J136" s="7">
        <f>VLOOKUP(InputData[[#This Row],[PRODUCT ID]],MasterData[],5,0)</f>
        <v>73</v>
      </c>
      <c r="K136" s="8">
        <f>VLOOKUP(InputData[[#This Row],[PRODUCT ID]],MasterData[],6,0)</f>
        <v>94.17</v>
      </c>
      <c r="L136" s="8">
        <f>InputData[[#This Row],[BUYING PRIZE]]*InputData[[#This Row],[QUANTITY]]</f>
        <v>511</v>
      </c>
      <c r="M136" s="8">
        <f>InputData[[#This Row],[SELLING PRICE]]*InputData[[#This Row],[QUANTITY]]*(1-InputData[[#This Row],[DISCOUNT %]])</f>
        <v>659.19</v>
      </c>
      <c r="N136" s="7">
        <f>DAY(InputData[[#This Row],[DATE]])</f>
        <v>27</v>
      </c>
      <c r="O136" s="7" t="str">
        <f>TEXT(InputData[[#This Row],[DATE]],"MMM")</f>
        <v>Feb</v>
      </c>
      <c r="P136" s="7">
        <f>YEAR(InputData[[#This Row],[DATE]])</f>
        <v>2022</v>
      </c>
    </row>
    <row r="137" spans="1:16" x14ac:dyDescent="0.25">
      <c r="A137" s="3">
        <v>44671</v>
      </c>
      <c r="B137" s="4" t="s">
        <v>31</v>
      </c>
      <c r="C137" s="5">
        <v>4</v>
      </c>
      <c r="D137" s="5" t="s">
        <v>108</v>
      </c>
      <c r="E137" s="5" t="s">
        <v>106</v>
      </c>
      <c r="F137" s="6">
        <v>0</v>
      </c>
      <c r="G137" s="7" t="str">
        <f>VLOOKUP(InputData[[#This Row],[PRODUCT ID]],MasterData[],2,0)</f>
        <v>Green chilly</v>
      </c>
      <c r="H137" s="7" t="str">
        <f>VLOOKUP(InputData[[#This Row],[PRODUCT ID]],MasterData[],3,0)</f>
        <v>Category02</v>
      </c>
      <c r="I137" s="7" t="str">
        <f>VLOOKUP(InputData[[#This Row],[PRODUCT ID]],MasterData[],4,0)</f>
        <v>Kg</v>
      </c>
      <c r="J137" s="7">
        <f>VLOOKUP(InputData[[#This Row],[PRODUCT ID]],MasterData[],5,0)</f>
        <v>73</v>
      </c>
      <c r="K137" s="8">
        <f>VLOOKUP(InputData[[#This Row],[PRODUCT ID]],MasterData[],6,0)</f>
        <v>94.17</v>
      </c>
      <c r="L137" s="8">
        <f>InputData[[#This Row],[BUYING PRIZE]]*InputData[[#This Row],[QUANTITY]]</f>
        <v>292</v>
      </c>
      <c r="M137" s="8">
        <f>InputData[[#This Row],[SELLING PRICE]]*InputData[[#This Row],[QUANTITY]]*(1-InputData[[#This Row],[DISCOUNT %]])</f>
        <v>376.68</v>
      </c>
      <c r="N137" s="7">
        <f>DAY(InputData[[#This Row],[DATE]])</f>
        <v>20</v>
      </c>
      <c r="O137" s="7" t="str">
        <f>TEXT(InputData[[#This Row],[DATE]],"MMM")</f>
        <v>Apr</v>
      </c>
      <c r="P137" s="7">
        <f>YEAR(InputData[[#This Row],[DATE]])</f>
        <v>2022</v>
      </c>
    </row>
    <row r="138" spans="1:16" x14ac:dyDescent="0.25">
      <c r="A138" s="3">
        <v>44694</v>
      </c>
      <c r="B138" s="4" t="s">
        <v>31</v>
      </c>
      <c r="C138" s="5">
        <v>5</v>
      </c>
      <c r="D138" s="5" t="s">
        <v>108</v>
      </c>
      <c r="E138" s="5" t="s">
        <v>106</v>
      </c>
      <c r="F138" s="6">
        <v>0</v>
      </c>
      <c r="G138" s="7" t="str">
        <f>VLOOKUP(InputData[[#This Row],[PRODUCT ID]],MasterData[],2,0)</f>
        <v>Green chilly</v>
      </c>
      <c r="H138" s="7" t="str">
        <f>VLOOKUP(InputData[[#This Row],[PRODUCT ID]],MasterData[],3,0)</f>
        <v>Category02</v>
      </c>
      <c r="I138" s="7" t="str">
        <f>VLOOKUP(InputData[[#This Row],[PRODUCT ID]],MasterData[],4,0)</f>
        <v>Kg</v>
      </c>
      <c r="J138" s="7">
        <f>VLOOKUP(InputData[[#This Row],[PRODUCT ID]],MasterData[],5,0)</f>
        <v>73</v>
      </c>
      <c r="K138" s="8">
        <f>VLOOKUP(InputData[[#This Row],[PRODUCT ID]],MasterData[],6,0)</f>
        <v>94.17</v>
      </c>
      <c r="L138" s="8">
        <f>InputData[[#This Row],[BUYING PRIZE]]*InputData[[#This Row],[QUANTITY]]</f>
        <v>365</v>
      </c>
      <c r="M138" s="8">
        <f>InputData[[#This Row],[SELLING PRICE]]*InputData[[#This Row],[QUANTITY]]*(1-InputData[[#This Row],[DISCOUNT %]])</f>
        <v>470.85</v>
      </c>
      <c r="N138" s="7">
        <f>DAY(InputData[[#This Row],[DATE]])</f>
        <v>13</v>
      </c>
      <c r="O138" s="7" t="str">
        <f>TEXT(InputData[[#This Row],[DATE]],"MMM")</f>
        <v>May</v>
      </c>
      <c r="P138" s="7">
        <f>YEAR(InputData[[#This Row],[DATE]])</f>
        <v>2022</v>
      </c>
    </row>
    <row r="139" spans="1:16" x14ac:dyDescent="0.25">
      <c r="A139" s="3">
        <v>44737</v>
      </c>
      <c r="B139" s="4" t="s">
        <v>31</v>
      </c>
      <c r="C139" s="5">
        <v>7</v>
      </c>
      <c r="D139" s="5" t="s">
        <v>106</v>
      </c>
      <c r="E139" s="5" t="s">
        <v>106</v>
      </c>
      <c r="F139" s="6">
        <v>0</v>
      </c>
      <c r="G139" s="7" t="str">
        <f>VLOOKUP(InputData[[#This Row],[PRODUCT ID]],MasterData[],2,0)</f>
        <v>Green chilly</v>
      </c>
      <c r="H139" s="7" t="str">
        <f>VLOOKUP(InputData[[#This Row],[PRODUCT ID]],MasterData[],3,0)</f>
        <v>Category02</v>
      </c>
      <c r="I139" s="7" t="str">
        <f>VLOOKUP(InputData[[#This Row],[PRODUCT ID]],MasterData[],4,0)</f>
        <v>Kg</v>
      </c>
      <c r="J139" s="7">
        <f>VLOOKUP(InputData[[#This Row],[PRODUCT ID]],MasterData[],5,0)</f>
        <v>73</v>
      </c>
      <c r="K139" s="8">
        <f>VLOOKUP(InputData[[#This Row],[PRODUCT ID]],MasterData[],6,0)</f>
        <v>94.17</v>
      </c>
      <c r="L139" s="8">
        <f>InputData[[#This Row],[BUYING PRIZE]]*InputData[[#This Row],[QUANTITY]]</f>
        <v>511</v>
      </c>
      <c r="M139" s="8">
        <f>InputData[[#This Row],[SELLING PRICE]]*InputData[[#This Row],[QUANTITY]]*(1-InputData[[#This Row],[DISCOUNT %]])</f>
        <v>659.19</v>
      </c>
      <c r="N139" s="7">
        <f>DAY(InputData[[#This Row],[DATE]])</f>
        <v>25</v>
      </c>
      <c r="O139" s="7" t="str">
        <f>TEXT(InputData[[#This Row],[DATE]],"MMM")</f>
        <v>Jun</v>
      </c>
      <c r="P139" s="7">
        <f>YEAR(InputData[[#This Row],[DATE]])</f>
        <v>2022</v>
      </c>
    </row>
    <row r="140" spans="1:16" x14ac:dyDescent="0.25">
      <c r="A140" s="3">
        <v>44776</v>
      </c>
      <c r="B140" s="4" t="s">
        <v>31</v>
      </c>
      <c r="C140" s="5">
        <v>5</v>
      </c>
      <c r="D140" s="5" t="s">
        <v>108</v>
      </c>
      <c r="E140" s="5" t="s">
        <v>107</v>
      </c>
      <c r="F140" s="6">
        <v>0</v>
      </c>
      <c r="G140" s="7" t="str">
        <f>VLOOKUP(InputData[[#This Row],[PRODUCT ID]],MasterData[],2,0)</f>
        <v>Green chilly</v>
      </c>
      <c r="H140" s="7" t="str">
        <f>VLOOKUP(InputData[[#This Row],[PRODUCT ID]],MasterData[],3,0)</f>
        <v>Category02</v>
      </c>
      <c r="I140" s="7" t="str">
        <f>VLOOKUP(InputData[[#This Row],[PRODUCT ID]],MasterData[],4,0)</f>
        <v>Kg</v>
      </c>
      <c r="J140" s="7">
        <f>VLOOKUP(InputData[[#This Row],[PRODUCT ID]],MasterData[],5,0)</f>
        <v>73</v>
      </c>
      <c r="K140" s="8">
        <f>VLOOKUP(InputData[[#This Row],[PRODUCT ID]],MasterData[],6,0)</f>
        <v>94.17</v>
      </c>
      <c r="L140" s="8">
        <f>InputData[[#This Row],[BUYING PRIZE]]*InputData[[#This Row],[QUANTITY]]</f>
        <v>365</v>
      </c>
      <c r="M140" s="8">
        <f>InputData[[#This Row],[SELLING PRICE]]*InputData[[#This Row],[QUANTITY]]*(1-InputData[[#This Row],[DISCOUNT %]])</f>
        <v>470.85</v>
      </c>
      <c r="N140" s="7">
        <f>DAY(InputData[[#This Row],[DATE]])</f>
        <v>3</v>
      </c>
      <c r="O140" s="7" t="str">
        <f>TEXT(InputData[[#This Row],[DATE]],"MMM")</f>
        <v>Aug</v>
      </c>
      <c r="P140" s="7">
        <f>YEAR(InputData[[#This Row],[DATE]])</f>
        <v>2022</v>
      </c>
    </row>
    <row r="141" spans="1:16" x14ac:dyDescent="0.25">
      <c r="A141" s="3">
        <v>44827</v>
      </c>
      <c r="B141" s="4" t="s">
        <v>31</v>
      </c>
      <c r="C141" s="5">
        <v>12</v>
      </c>
      <c r="D141" s="5" t="s">
        <v>108</v>
      </c>
      <c r="E141" s="5" t="s">
        <v>106</v>
      </c>
      <c r="F141" s="6">
        <v>0</v>
      </c>
      <c r="G141" s="7" t="str">
        <f>VLOOKUP(InputData[[#This Row],[PRODUCT ID]],MasterData[],2,0)</f>
        <v>Green chilly</v>
      </c>
      <c r="H141" s="7" t="str">
        <f>VLOOKUP(InputData[[#This Row],[PRODUCT ID]],MasterData[],3,0)</f>
        <v>Category02</v>
      </c>
      <c r="I141" s="7" t="str">
        <f>VLOOKUP(InputData[[#This Row],[PRODUCT ID]],MasterData[],4,0)</f>
        <v>Kg</v>
      </c>
      <c r="J141" s="7">
        <f>VLOOKUP(InputData[[#This Row],[PRODUCT ID]],MasterData[],5,0)</f>
        <v>73</v>
      </c>
      <c r="K141" s="8">
        <f>VLOOKUP(InputData[[#This Row],[PRODUCT ID]],MasterData[],6,0)</f>
        <v>94.17</v>
      </c>
      <c r="L141" s="8">
        <f>InputData[[#This Row],[BUYING PRIZE]]*InputData[[#This Row],[QUANTITY]]</f>
        <v>876</v>
      </c>
      <c r="M141" s="8">
        <f>InputData[[#This Row],[SELLING PRICE]]*InputData[[#This Row],[QUANTITY]]*(1-InputData[[#This Row],[DISCOUNT %]])</f>
        <v>1130.04</v>
      </c>
      <c r="N141" s="7">
        <f>DAY(InputData[[#This Row],[DATE]])</f>
        <v>23</v>
      </c>
      <c r="O141" s="7" t="str">
        <f>TEXT(InputData[[#This Row],[DATE]],"MMM")</f>
        <v>Sep</v>
      </c>
      <c r="P141" s="7">
        <f>YEAR(InputData[[#This Row],[DATE]])</f>
        <v>2022</v>
      </c>
    </row>
    <row r="142" spans="1:16" x14ac:dyDescent="0.25">
      <c r="A142" s="3">
        <v>44866</v>
      </c>
      <c r="B142" s="4" t="s">
        <v>31</v>
      </c>
      <c r="C142" s="5">
        <v>15</v>
      </c>
      <c r="D142" s="5" t="s">
        <v>105</v>
      </c>
      <c r="E142" s="5" t="s">
        <v>106</v>
      </c>
      <c r="F142" s="6">
        <v>0</v>
      </c>
      <c r="G142" s="7" t="str">
        <f>VLOOKUP(InputData[[#This Row],[PRODUCT ID]],MasterData[],2,0)</f>
        <v>Green chilly</v>
      </c>
      <c r="H142" s="7" t="str">
        <f>VLOOKUP(InputData[[#This Row],[PRODUCT ID]],MasterData[],3,0)</f>
        <v>Category02</v>
      </c>
      <c r="I142" s="7" t="str">
        <f>VLOOKUP(InputData[[#This Row],[PRODUCT ID]],MasterData[],4,0)</f>
        <v>Kg</v>
      </c>
      <c r="J142" s="7">
        <f>VLOOKUP(InputData[[#This Row],[PRODUCT ID]],MasterData[],5,0)</f>
        <v>73</v>
      </c>
      <c r="K142" s="8">
        <f>VLOOKUP(InputData[[#This Row],[PRODUCT ID]],MasterData[],6,0)</f>
        <v>94.17</v>
      </c>
      <c r="L142" s="8">
        <f>InputData[[#This Row],[BUYING PRIZE]]*InputData[[#This Row],[QUANTITY]]</f>
        <v>1095</v>
      </c>
      <c r="M142" s="8">
        <f>InputData[[#This Row],[SELLING PRICE]]*InputData[[#This Row],[QUANTITY]]*(1-InputData[[#This Row],[DISCOUNT %]])</f>
        <v>1412.55</v>
      </c>
      <c r="N142" s="7">
        <f>DAY(InputData[[#This Row],[DATE]])</f>
        <v>1</v>
      </c>
      <c r="O142" s="7" t="str">
        <f>TEXT(InputData[[#This Row],[DATE]],"MMM")</f>
        <v>Nov</v>
      </c>
      <c r="P142" s="7">
        <f>YEAR(InputData[[#This Row],[DATE]])</f>
        <v>2022</v>
      </c>
    </row>
    <row r="143" spans="1:16" x14ac:dyDescent="0.25">
      <c r="A143" s="3">
        <v>44880</v>
      </c>
      <c r="B143" s="4" t="s">
        <v>31</v>
      </c>
      <c r="C143" s="5">
        <v>14</v>
      </c>
      <c r="D143" s="5" t="s">
        <v>108</v>
      </c>
      <c r="E143" s="5" t="s">
        <v>107</v>
      </c>
      <c r="F143" s="6">
        <v>0</v>
      </c>
      <c r="G143" s="7" t="str">
        <f>VLOOKUP(InputData[[#This Row],[PRODUCT ID]],MasterData[],2,0)</f>
        <v>Green chilly</v>
      </c>
      <c r="H143" s="7" t="str">
        <f>VLOOKUP(InputData[[#This Row],[PRODUCT ID]],MasterData[],3,0)</f>
        <v>Category02</v>
      </c>
      <c r="I143" s="7" t="str">
        <f>VLOOKUP(InputData[[#This Row],[PRODUCT ID]],MasterData[],4,0)</f>
        <v>Kg</v>
      </c>
      <c r="J143" s="7">
        <f>VLOOKUP(InputData[[#This Row],[PRODUCT ID]],MasterData[],5,0)</f>
        <v>73</v>
      </c>
      <c r="K143" s="8">
        <f>VLOOKUP(InputData[[#This Row],[PRODUCT ID]],MasterData[],6,0)</f>
        <v>94.17</v>
      </c>
      <c r="L143" s="8">
        <f>InputData[[#This Row],[BUYING PRIZE]]*InputData[[#This Row],[QUANTITY]]</f>
        <v>1022</v>
      </c>
      <c r="M143" s="8">
        <f>InputData[[#This Row],[SELLING PRICE]]*InputData[[#This Row],[QUANTITY]]*(1-InputData[[#This Row],[DISCOUNT %]])</f>
        <v>1318.38</v>
      </c>
      <c r="N143" s="7">
        <f>DAY(InputData[[#This Row],[DATE]])</f>
        <v>15</v>
      </c>
      <c r="O143" s="7" t="str">
        <f>TEXT(InputData[[#This Row],[DATE]],"MMM")</f>
        <v>Nov</v>
      </c>
      <c r="P143" s="7">
        <f>YEAR(InputData[[#This Row],[DATE]])</f>
        <v>2022</v>
      </c>
    </row>
    <row r="144" spans="1:16" x14ac:dyDescent="0.25">
      <c r="A144" s="9">
        <v>44926</v>
      </c>
      <c r="B144" s="4" t="s">
        <v>31</v>
      </c>
      <c r="C144" s="5">
        <v>5</v>
      </c>
      <c r="D144" s="5" t="s">
        <v>106</v>
      </c>
      <c r="E144" s="5" t="s">
        <v>106</v>
      </c>
      <c r="F144" s="6">
        <v>0</v>
      </c>
      <c r="G144" s="7" t="str">
        <f>VLOOKUP(InputData[[#This Row],[PRODUCT ID]],MasterData[],2,0)</f>
        <v>Green chilly</v>
      </c>
      <c r="H144" s="7" t="str">
        <f>VLOOKUP(InputData[[#This Row],[PRODUCT ID]],MasterData[],3,0)</f>
        <v>Category02</v>
      </c>
      <c r="I144" s="7" t="str">
        <f>VLOOKUP(InputData[[#This Row],[PRODUCT ID]],MasterData[],4,0)</f>
        <v>Kg</v>
      </c>
      <c r="J144" s="7">
        <f>VLOOKUP(InputData[[#This Row],[PRODUCT ID]],MasterData[],5,0)</f>
        <v>73</v>
      </c>
      <c r="K144" s="8">
        <f>VLOOKUP(InputData[[#This Row],[PRODUCT ID]],MasterData[],6,0)</f>
        <v>94.17</v>
      </c>
      <c r="L144" s="8">
        <f>InputData[[#This Row],[BUYING PRIZE]]*InputData[[#This Row],[QUANTITY]]</f>
        <v>365</v>
      </c>
      <c r="M144" s="8">
        <f>InputData[[#This Row],[SELLING PRICE]]*InputData[[#This Row],[QUANTITY]]*(1-InputData[[#This Row],[DISCOUNT %]])</f>
        <v>470.85</v>
      </c>
      <c r="N144" s="7">
        <f>DAY(InputData[[#This Row],[DATE]])</f>
        <v>31</v>
      </c>
      <c r="O144" s="7" t="str">
        <f>TEXT(InputData[[#This Row],[DATE]],"MMM")</f>
        <v>Dec</v>
      </c>
      <c r="P144" s="7">
        <f>YEAR(InputData[[#This Row],[DATE]])</f>
        <v>2022</v>
      </c>
    </row>
    <row r="145" spans="1:16" x14ac:dyDescent="0.25">
      <c r="A145" s="3">
        <v>44198</v>
      </c>
      <c r="B145" s="4" t="s">
        <v>33</v>
      </c>
      <c r="C145" s="5">
        <v>6</v>
      </c>
      <c r="D145" s="5" t="s">
        <v>108</v>
      </c>
      <c r="E145" s="5" t="s">
        <v>107</v>
      </c>
      <c r="F145" s="6">
        <v>0</v>
      </c>
      <c r="G145" s="7" t="str">
        <f>VLOOKUP(InputData[[#This Row],[PRODUCT ID]],MasterData[],2,0)</f>
        <v>Red chilly</v>
      </c>
      <c r="H145" s="7" t="str">
        <f>VLOOKUP(InputData[[#This Row],[PRODUCT ID]],MasterData[],3,0)</f>
        <v>Category02</v>
      </c>
      <c r="I145" s="7" t="str">
        <f>VLOOKUP(InputData[[#This Row],[PRODUCT ID]],MasterData[],4,0)</f>
        <v>Kg</v>
      </c>
      <c r="J145" s="7">
        <f>VLOOKUP(InputData[[#This Row],[PRODUCT ID]],MasterData[],5,0)</f>
        <v>112</v>
      </c>
      <c r="K145" s="8">
        <f>VLOOKUP(InputData[[#This Row],[PRODUCT ID]],MasterData[],6,0)</f>
        <v>122.08</v>
      </c>
      <c r="L145" s="8">
        <f>InputData[[#This Row],[BUYING PRIZE]]*InputData[[#This Row],[QUANTITY]]</f>
        <v>672</v>
      </c>
      <c r="M145" s="8">
        <f>InputData[[#This Row],[SELLING PRICE]]*InputData[[#This Row],[QUANTITY]]*(1-InputData[[#This Row],[DISCOUNT %]])</f>
        <v>732.48</v>
      </c>
      <c r="N145" s="7">
        <f>DAY(InputData[[#This Row],[DATE]])</f>
        <v>2</v>
      </c>
      <c r="O145" s="7" t="str">
        <f>TEXT(InputData[[#This Row],[DATE]],"MMM")</f>
        <v>Jan</v>
      </c>
      <c r="P145" s="7">
        <f>YEAR(InputData[[#This Row],[DATE]])</f>
        <v>2021</v>
      </c>
    </row>
    <row r="146" spans="1:16" x14ac:dyDescent="0.25">
      <c r="A146" s="3">
        <v>44249</v>
      </c>
      <c r="B146" s="4" t="s">
        <v>33</v>
      </c>
      <c r="C146" s="5">
        <v>5</v>
      </c>
      <c r="D146" s="5" t="s">
        <v>106</v>
      </c>
      <c r="E146" s="5" t="s">
        <v>107</v>
      </c>
      <c r="F146" s="6">
        <v>0</v>
      </c>
      <c r="G146" s="7" t="str">
        <f>VLOOKUP(InputData[[#This Row],[PRODUCT ID]],MasterData[],2,0)</f>
        <v>Red chilly</v>
      </c>
      <c r="H146" s="7" t="str">
        <f>VLOOKUP(InputData[[#This Row],[PRODUCT ID]],MasterData[],3,0)</f>
        <v>Category02</v>
      </c>
      <c r="I146" s="7" t="str">
        <f>VLOOKUP(InputData[[#This Row],[PRODUCT ID]],MasterData[],4,0)</f>
        <v>Kg</v>
      </c>
      <c r="J146" s="7">
        <f>VLOOKUP(InputData[[#This Row],[PRODUCT ID]],MasterData[],5,0)</f>
        <v>112</v>
      </c>
      <c r="K146" s="8">
        <f>VLOOKUP(InputData[[#This Row],[PRODUCT ID]],MasterData[],6,0)</f>
        <v>122.08</v>
      </c>
      <c r="L146" s="8">
        <f>InputData[[#This Row],[BUYING PRIZE]]*InputData[[#This Row],[QUANTITY]]</f>
        <v>560</v>
      </c>
      <c r="M146" s="8">
        <f>InputData[[#This Row],[SELLING PRICE]]*InputData[[#This Row],[QUANTITY]]*(1-InputData[[#This Row],[DISCOUNT %]])</f>
        <v>610.4</v>
      </c>
      <c r="N146" s="7">
        <f>DAY(InputData[[#This Row],[DATE]])</f>
        <v>22</v>
      </c>
      <c r="O146" s="7" t="str">
        <f>TEXT(InputData[[#This Row],[DATE]],"MMM")</f>
        <v>Feb</v>
      </c>
      <c r="P146" s="7">
        <f>YEAR(InputData[[#This Row],[DATE]])</f>
        <v>2021</v>
      </c>
    </row>
    <row r="147" spans="1:16" x14ac:dyDescent="0.25">
      <c r="A147" s="3">
        <v>44346</v>
      </c>
      <c r="B147" s="4" t="s">
        <v>33</v>
      </c>
      <c r="C147" s="5">
        <v>6</v>
      </c>
      <c r="D147" s="5" t="s">
        <v>106</v>
      </c>
      <c r="E147" s="5" t="s">
        <v>107</v>
      </c>
      <c r="F147" s="6">
        <v>0</v>
      </c>
      <c r="G147" s="7" t="str">
        <f>VLOOKUP(InputData[[#This Row],[PRODUCT ID]],MasterData[],2,0)</f>
        <v>Red chilly</v>
      </c>
      <c r="H147" s="7" t="str">
        <f>VLOOKUP(InputData[[#This Row],[PRODUCT ID]],MasterData[],3,0)</f>
        <v>Category02</v>
      </c>
      <c r="I147" s="7" t="str">
        <f>VLOOKUP(InputData[[#This Row],[PRODUCT ID]],MasterData[],4,0)</f>
        <v>Kg</v>
      </c>
      <c r="J147" s="7">
        <f>VLOOKUP(InputData[[#This Row],[PRODUCT ID]],MasterData[],5,0)</f>
        <v>112</v>
      </c>
      <c r="K147" s="8">
        <f>VLOOKUP(InputData[[#This Row],[PRODUCT ID]],MasterData[],6,0)</f>
        <v>122.08</v>
      </c>
      <c r="L147" s="8">
        <f>InputData[[#This Row],[BUYING PRIZE]]*InputData[[#This Row],[QUANTITY]]</f>
        <v>672</v>
      </c>
      <c r="M147" s="8">
        <f>InputData[[#This Row],[SELLING PRICE]]*InputData[[#This Row],[QUANTITY]]*(1-InputData[[#This Row],[DISCOUNT %]])</f>
        <v>732.48</v>
      </c>
      <c r="N147" s="7">
        <f>DAY(InputData[[#This Row],[DATE]])</f>
        <v>30</v>
      </c>
      <c r="O147" s="7" t="str">
        <f>TEXT(InputData[[#This Row],[DATE]],"MMM")</f>
        <v>May</v>
      </c>
      <c r="P147" s="7">
        <f>YEAR(InputData[[#This Row],[DATE]])</f>
        <v>2021</v>
      </c>
    </row>
    <row r="148" spans="1:16" x14ac:dyDescent="0.25">
      <c r="A148" s="3">
        <v>44438</v>
      </c>
      <c r="B148" s="4" t="s">
        <v>33</v>
      </c>
      <c r="C148" s="5">
        <v>13</v>
      </c>
      <c r="D148" s="5" t="s">
        <v>108</v>
      </c>
      <c r="E148" s="5" t="s">
        <v>106</v>
      </c>
      <c r="F148" s="6">
        <v>0</v>
      </c>
      <c r="G148" s="7" t="str">
        <f>VLOOKUP(InputData[[#This Row],[PRODUCT ID]],MasterData[],2,0)</f>
        <v>Red chilly</v>
      </c>
      <c r="H148" s="7" t="str">
        <f>VLOOKUP(InputData[[#This Row],[PRODUCT ID]],MasterData[],3,0)</f>
        <v>Category02</v>
      </c>
      <c r="I148" s="7" t="str">
        <f>VLOOKUP(InputData[[#This Row],[PRODUCT ID]],MasterData[],4,0)</f>
        <v>Kg</v>
      </c>
      <c r="J148" s="7">
        <f>VLOOKUP(InputData[[#This Row],[PRODUCT ID]],MasterData[],5,0)</f>
        <v>112</v>
      </c>
      <c r="K148" s="8">
        <f>VLOOKUP(InputData[[#This Row],[PRODUCT ID]],MasterData[],6,0)</f>
        <v>122.08</v>
      </c>
      <c r="L148" s="8">
        <f>InputData[[#This Row],[BUYING PRIZE]]*InputData[[#This Row],[QUANTITY]]</f>
        <v>1456</v>
      </c>
      <c r="M148" s="8">
        <f>InputData[[#This Row],[SELLING PRICE]]*InputData[[#This Row],[QUANTITY]]*(1-InputData[[#This Row],[DISCOUNT %]])</f>
        <v>1587.04</v>
      </c>
      <c r="N148" s="7">
        <f>DAY(InputData[[#This Row],[DATE]])</f>
        <v>30</v>
      </c>
      <c r="O148" s="7" t="str">
        <f>TEXT(InputData[[#This Row],[DATE]],"MMM")</f>
        <v>Aug</v>
      </c>
      <c r="P148" s="7">
        <f>YEAR(InputData[[#This Row],[DATE]])</f>
        <v>2021</v>
      </c>
    </row>
    <row r="149" spans="1:16" x14ac:dyDescent="0.25">
      <c r="A149" s="3">
        <v>44503</v>
      </c>
      <c r="B149" s="4" t="s">
        <v>33</v>
      </c>
      <c r="C149" s="5">
        <v>12</v>
      </c>
      <c r="D149" s="5" t="s">
        <v>108</v>
      </c>
      <c r="E149" s="5" t="s">
        <v>107</v>
      </c>
      <c r="F149" s="6">
        <v>0</v>
      </c>
      <c r="G149" s="7" t="str">
        <f>VLOOKUP(InputData[[#This Row],[PRODUCT ID]],MasterData[],2,0)</f>
        <v>Red chilly</v>
      </c>
      <c r="H149" s="7" t="str">
        <f>VLOOKUP(InputData[[#This Row],[PRODUCT ID]],MasterData[],3,0)</f>
        <v>Category02</v>
      </c>
      <c r="I149" s="7" t="str">
        <f>VLOOKUP(InputData[[#This Row],[PRODUCT ID]],MasterData[],4,0)</f>
        <v>Kg</v>
      </c>
      <c r="J149" s="7">
        <f>VLOOKUP(InputData[[#This Row],[PRODUCT ID]],MasterData[],5,0)</f>
        <v>112</v>
      </c>
      <c r="K149" s="8">
        <f>VLOOKUP(InputData[[#This Row],[PRODUCT ID]],MasterData[],6,0)</f>
        <v>122.08</v>
      </c>
      <c r="L149" s="8">
        <f>InputData[[#This Row],[BUYING PRIZE]]*InputData[[#This Row],[QUANTITY]]</f>
        <v>1344</v>
      </c>
      <c r="M149" s="8">
        <f>InputData[[#This Row],[SELLING PRICE]]*InputData[[#This Row],[QUANTITY]]*(1-InputData[[#This Row],[DISCOUNT %]])</f>
        <v>1464.96</v>
      </c>
      <c r="N149" s="7">
        <f>DAY(InputData[[#This Row],[DATE]])</f>
        <v>3</v>
      </c>
      <c r="O149" s="7" t="str">
        <f>TEXT(InputData[[#This Row],[DATE]],"MMM")</f>
        <v>Nov</v>
      </c>
      <c r="P149" s="7">
        <f>YEAR(InputData[[#This Row],[DATE]])</f>
        <v>2021</v>
      </c>
    </row>
    <row r="150" spans="1:16" x14ac:dyDescent="0.25">
      <c r="A150" s="3">
        <v>44537</v>
      </c>
      <c r="B150" s="4" t="s">
        <v>33</v>
      </c>
      <c r="C150" s="5">
        <v>8</v>
      </c>
      <c r="D150" s="5" t="s">
        <v>108</v>
      </c>
      <c r="E150" s="5" t="s">
        <v>106</v>
      </c>
      <c r="F150" s="6">
        <v>0</v>
      </c>
      <c r="G150" s="7" t="str">
        <f>VLOOKUP(InputData[[#This Row],[PRODUCT ID]],MasterData[],2,0)</f>
        <v>Red chilly</v>
      </c>
      <c r="H150" s="7" t="str">
        <f>VLOOKUP(InputData[[#This Row],[PRODUCT ID]],MasterData[],3,0)</f>
        <v>Category02</v>
      </c>
      <c r="I150" s="7" t="str">
        <f>VLOOKUP(InputData[[#This Row],[PRODUCT ID]],MasterData[],4,0)</f>
        <v>Kg</v>
      </c>
      <c r="J150" s="7">
        <f>VLOOKUP(InputData[[#This Row],[PRODUCT ID]],MasterData[],5,0)</f>
        <v>112</v>
      </c>
      <c r="K150" s="8">
        <f>VLOOKUP(InputData[[#This Row],[PRODUCT ID]],MasterData[],6,0)</f>
        <v>122.08</v>
      </c>
      <c r="L150" s="8">
        <f>InputData[[#This Row],[BUYING PRIZE]]*InputData[[#This Row],[QUANTITY]]</f>
        <v>896</v>
      </c>
      <c r="M150" s="8">
        <f>InputData[[#This Row],[SELLING PRICE]]*InputData[[#This Row],[QUANTITY]]*(1-InputData[[#This Row],[DISCOUNT %]])</f>
        <v>976.64</v>
      </c>
      <c r="N150" s="7">
        <f>DAY(InputData[[#This Row],[DATE]])</f>
        <v>7</v>
      </c>
      <c r="O150" s="7" t="str">
        <f>TEXT(InputData[[#This Row],[DATE]],"MMM")</f>
        <v>Dec</v>
      </c>
      <c r="P150" s="7">
        <f>YEAR(InputData[[#This Row],[DATE]])</f>
        <v>2021</v>
      </c>
    </row>
    <row r="151" spans="1:16" x14ac:dyDescent="0.25">
      <c r="A151" s="3">
        <v>44615</v>
      </c>
      <c r="B151" s="4" t="s">
        <v>33</v>
      </c>
      <c r="C151" s="5">
        <v>6</v>
      </c>
      <c r="D151" s="5" t="s">
        <v>106</v>
      </c>
      <c r="E151" s="5" t="s">
        <v>106</v>
      </c>
      <c r="F151" s="6">
        <v>0</v>
      </c>
      <c r="G151" s="7" t="str">
        <f>VLOOKUP(InputData[[#This Row],[PRODUCT ID]],MasterData[],2,0)</f>
        <v>Red chilly</v>
      </c>
      <c r="H151" s="7" t="str">
        <f>VLOOKUP(InputData[[#This Row],[PRODUCT ID]],MasterData[],3,0)</f>
        <v>Category02</v>
      </c>
      <c r="I151" s="7" t="str">
        <f>VLOOKUP(InputData[[#This Row],[PRODUCT ID]],MasterData[],4,0)</f>
        <v>Kg</v>
      </c>
      <c r="J151" s="7">
        <f>VLOOKUP(InputData[[#This Row],[PRODUCT ID]],MasterData[],5,0)</f>
        <v>112</v>
      </c>
      <c r="K151" s="8">
        <f>VLOOKUP(InputData[[#This Row],[PRODUCT ID]],MasterData[],6,0)</f>
        <v>122.08</v>
      </c>
      <c r="L151" s="8">
        <f>InputData[[#This Row],[BUYING PRIZE]]*InputData[[#This Row],[QUANTITY]]</f>
        <v>672</v>
      </c>
      <c r="M151" s="8">
        <f>InputData[[#This Row],[SELLING PRICE]]*InputData[[#This Row],[QUANTITY]]*(1-InputData[[#This Row],[DISCOUNT %]])</f>
        <v>732.48</v>
      </c>
      <c r="N151" s="7">
        <f>DAY(InputData[[#This Row],[DATE]])</f>
        <v>23</v>
      </c>
      <c r="O151" s="7" t="str">
        <f>TEXT(InputData[[#This Row],[DATE]],"MMM")</f>
        <v>Feb</v>
      </c>
      <c r="P151" s="7">
        <f>YEAR(InputData[[#This Row],[DATE]])</f>
        <v>2022</v>
      </c>
    </row>
    <row r="152" spans="1:16" x14ac:dyDescent="0.25">
      <c r="A152" s="3">
        <v>44683</v>
      </c>
      <c r="B152" s="4" t="s">
        <v>33</v>
      </c>
      <c r="C152" s="5">
        <v>4</v>
      </c>
      <c r="D152" s="5" t="s">
        <v>106</v>
      </c>
      <c r="E152" s="5" t="s">
        <v>107</v>
      </c>
      <c r="F152" s="6">
        <v>0</v>
      </c>
      <c r="G152" s="7" t="str">
        <f>VLOOKUP(InputData[[#This Row],[PRODUCT ID]],MasterData[],2,0)</f>
        <v>Red chilly</v>
      </c>
      <c r="H152" s="7" t="str">
        <f>VLOOKUP(InputData[[#This Row],[PRODUCT ID]],MasterData[],3,0)</f>
        <v>Category02</v>
      </c>
      <c r="I152" s="7" t="str">
        <f>VLOOKUP(InputData[[#This Row],[PRODUCT ID]],MasterData[],4,0)</f>
        <v>Kg</v>
      </c>
      <c r="J152" s="7">
        <f>VLOOKUP(InputData[[#This Row],[PRODUCT ID]],MasterData[],5,0)</f>
        <v>112</v>
      </c>
      <c r="K152" s="8">
        <f>VLOOKUP(InputData[[#This Row],[PRODUCT ID]],MasterData[],6,0)</f>
        <v>122.08</v>
      </c>
      <c r="L152" s="8">
        <f>InputData[[#This Row],[BUYING PRIZE]]*InputData[[#This Row],[QUANTITY]]</f>
        <v>448</v>
      </c>
      <c r="M152" s="8">
        <f>InputData[[#This Row],[SELLING PRICE]]*InputData[[#This Row],[QUANTITY]]*(1-InputData[[#This Row],[DISCOUNT %]])</f>
        <v>488.32</v>
      </c>
      <c r="N152" s="7">
        <f>DAY(InputData[[#This Row],[DATE]])</f>
        <v>2</v>
      </c>
      <c r="O152" s="7" t="str">
        <f>TEXT(InputData[[#This Row],[DATE]],"MMM")</f>
        <v>May</v>
      </c>
      <c r="P152" s="7">
        <f>YEAR(InputData[[#This Row],[DATE]])</f>
        <v>2022</v>
      </c>
    </row>
    <row r="153" spans="1:16" x14ac:dyDescent="0.25">
      <c r="A153" s="3">
        <v>44906</v>
      </c>
      <c r="B153" s="4" t="s">
        <v>33</v>
      </c>
      <c r="C153" s="5">
        <v>9</v>
      </c>
      <c r="D153" s="5" t="s">
        <v>105</v>
      </c>
      <c r="E153" s="5" t="s">
        <v>106</v>
      </c>
      <c r="F153" s="6">
        <v>0</v>
      </c>
      <c r="G153" s="7" t="str">
        <f>VLOOKUP(InputData[[#This Row],[PRODUCT ID]],MasterData[],2,0)</f>
        <v>Red chilly</v>
      </c>
      <c r="H153" s="7" t="str">
        <f>VLOOKUP(InputData[[#This Row],[PRODUCT ID]],MasterData[],3,0)</f>
        <v>Category02</v>
      </c>
      <c r="I153" s="7" t="str">
        <f>VLOOKUP(InputData[[#This Row],[PRODUCT ID]],MasterData[],4,0)</f>
        <v>Kg</v>
      </c>
      <c r="J153" s="7">
        <f>VLOOKUP(InputData[[#This Row],[PRODUCT ID]],MasterData[],5,0)</f>
        <v>112</v>
      </c>
      <c r="K153" s="8">
        <f>VLOOKUP(InputData[[#This Row],[PRODUCT ID]],MasterData[],6,0)</f>
        <v>122.08</v>
      </c>
      <c r="L153" s="8">
        <f>InputData[[#This Row],[BUYING PRIZE]]*InputData[[#This Row],[QUANTITY]]</f>
        <v>1008</v>
      </c>
      <c r="M153" s="8">
        <f>InputData[[#This Row],[SELLING PRICE]]*InputData[[#This Row],[QUANTITY]]*(1-InputData[[#This Row],[DISCOUNT %]])</f>
        <v>1098.72</v>
      </c>
      <c r="N153" s="7">
        <f>DAY(InputData[[#This Row],[DATE]])</f>
        <v>11</v>
      </c>
      <c r="O153" s="7" t="str">
        <f>TEXT(InputData[[#This Row],[DATE]],"MMM")</f>
        <v>Dec</v>
      </c>
      <c r="P153" s="7">
        <f>YEAR(InputData[[#This Row],[DATE]])</f>
        <v>2022</v>
      </c>
    </row>
    <row r="154" spans="1:16" x14ac:dyDescent="0.25">
      <c r="A154" s="3">
        <v>44207</v>
      </c>
      <c r="B154" s="4" t="s">
        <v>35</v>
      </c>
      <c r="C154" s="5">
        <v>4</v>
      </c>
      <c r="D154" s="5" t="s">
        <v>105</v>
      </c>
      <c r="E154" s="5" t="s">
        <v>106</v>
      </c>
      <c r="F154" s="6">
        <v>0</v>
      </c>
      <c r="G154" s="7" t="str">
        <f>VLOOKUP(InputData[[#This Row],[PRODUCT ID]],MasterData[],2,0)</f>
        <v>Brocoli</v>
      </c>
      <c r="H154" s="7" t="str">
        <f>VLOOKUP(InputData[[#This Row],[PRODUCT ID]],MasterData[],3,0)</f>
        <v>Category02</v>
      </c>
      <c r="I154" s="7" t="str">
        <f>VLOOKUP(InputData[[#This Row],[PRODUCT ID]],MasterData[],4,0)</f>
        <v>Kg</v>
      </c>
      <c r="J154" s="7">
        <f>VLOOKUP(InputData[[#This Row],[PRODUCT ID]],MasterData[],5,0)</f>
        <v>112</v>
      </c>
      <c r="K154" s="8">
        <f>VLOOKUP(InputData[[#This Row],[PRODUCT ID]],MasterData[],6,0)</f>
        <v>146.72</v>
      </c>
      <c r="L154" s="8">
        <f>InputData[[#This Row],[BUYING PRIZE]]*InputData[[#This Row],[QUANTITY]]</f>
        <v>448</v>
      </c>
      <c r="M154" s="8">
        <f>InputData[[#This Row],[SELLING PRICE]]*InputData[[#This Row],[QUANTITY]]*(1-InputData[[#This Row],[DISCOUNT %]])</f>
        <v>586.88</v>
      </c>
      <c r="N154" s="7">
        <f>DAY(InputData[[#This Row],[DATE]])</f>
        <v>11</v>
      </c>
      <c r="O154" s="7" t="str">
        <f>TEXT(InputData[[#This Row],[DATE]],"MMM")</f>
        <v>Jan</v>
      </c>
      <c r="P154" s="7">
        <f>YEAR(InputData[[#This Row],[DATE]])</f>
        <v>2021</v>
      </c>
    </row>
    <row r="155" spans="1:16" x14ac:dyDescent="0.25">
      <c r="A155" s="3">
        <v>44320</v>
      </c>
      <c r="B155" s="4" t="s">
        <v>35</v>
      </c>
      <c r="C155" s="5">
        <v>4</v>
      </c>
      <c r="D155" s="5" t="s">
        <v>108</v>
      </c>
      <c r="E155" s="5" t="s">
        <v>107</v>
      </c>
      <c r="F155" s="6">
        <v>0</v>
      </c>
      <c r="G155" s="7" t="str">
        <f>VLOOKUP(InputData[[#This Row],[PRODUCT ID]],MasterData[],2,0)</f>
        <v>Brocoli</v>
      </c>
      <c r="H155" s="7" t="str">
        <f>VLOOKUP(InputData[[#This Row],[PRODUCT ID]],MasterData[],3,0)</f>
        <v>Category02</v>
      </c>
      <c r="I155" s="7" t="str">
        <f>VLOOKUP(InputData[[#This Row],[PRODUCT ID]],MasterData[],4,0)</f>
        <v>Kg</v>
      </c>
      <c r="J155" s="7">
        <f>VLOOKUP(InputData[[#This Row],[PRODUCT ID]],MasterData[],5,0)</f>
        <v>112</v>
      </c>
      <c r="K155" s="8">
        <f>VLOOKUP(InputData[[#This Row],[PRODUCT ID]],MasterData[],6,0)</f>
        <v>146.72</v>
      </c>
      <c r="L155" s="8">
        <f>InputData[[#This Row],[BUYING PRIZE]]*InputData[[#This Row],[QUANTITY]]</f>
        <v>448</v>
      </c>
      <c r="M155" s="8">
        <f>InputData[[#This Row],[SELLING PRICE]]*InputData[[#This Row],[QUANTITY]]*(1-InputData[[#This Row],[DISCOUNT %]])</f>
        <v>586.88</v>
      </c>
      <c r="N155" s="7">
        <f>DAY(InputData[[#This Row],[DATE]])</f>
        <v>4</v>
      </c>
      <c r="O155" s="7" t="str">
        <f>TEXT(InputData[[#This Row],[DATE]],"MMM")</f>
        <v>May</v>
      </c>
      <c r="P155" s="7">
        <f>YEAR(InputData[[#This Row],[DATE]])</f>
        <v>2021</v>
      </c>
    </row>
    <row r="156" spans="1:16" x14ac:dyDescent="0.25">
      <c r="A156" s="3">
        <v>44376</v>
      </c>
      <c r="B156" s="4" t="s">
        <v>35</v>
      </c>
      <c r="C156" s="5">
        <v>4</v>
      </c>
      <c r="D156" s="5" t="s">
        <v>108</v>
      </c>
      <c r="E156" s="5" t="s">
        <v>106</v>
      </c>
      <c r="F156" s="6">
        <v>0</v>
      </c>
      <c r="G156" s="7" t="str">
        <f>VLOOKUP(InputData[[#This Row],[PRODUCT ID]],MasterData[],2,0)</f>
        <v>Brocoli</v>
      </c>
      <c r="H156" s="7" t="str">
        <f>VLOOKUP(InputData[[#This Row],[PRODUCT ID]],MasterData[],3,0)</f>
        <v>Category02</v>
      </c>
      <c r="I156" s="7" t="str">
        <f>VLOOKUP(InputData[[#This Row],[PRODUCT ID]],MasterData[],4,0)</f>
        <v>Kg</v>
      </c>
      <c r="J156" s="7">
        <f>VLOOKUP(InputData[[#This Row],[PRODUCT ID]],MasterData[],5,0)</f>
        <v>112</v>
      </c>
      <c r="K156" s="8">
        <f>VLOOKUP(InputData[[#This Row],[PRODUCT ID]],MasterData[],6,0)</f>
        <v>146.72</v>
      </c>
      <c r="L156" s="8">
        <f>InputData[[#This Row],[BUYING PRIZE]]*InputData[[#This Row],[QUANTITY]]</f>
        <v>448</v>
      </c>
      <c r="M156" s="8">
        <f>InputData[[#This Row],[SELLING PRICE]]*InputData[[#This Row],[QUANTITY]]*(1-InputData[[#This Row],[DISCOUNT %]])</f>
        <v>586.88</v>
      </c>
      <c r="N156" s="7">
        <f>DAY(InputData[[#This Row],[DATE]])</f>
        <v>29</v>
      </c>
      <c r="O156" s="7" t="str">
        <f>TEXT(InputData[[#This Row],[DATE]],"MMM")</f>
        <v>Jun</v>
      </c>
      <c r="P156" s="7">
        <f>YEAR(InputData[[#This Row],[DATE]])</f>
        <v>2021</v>
      </c>
    </row>
    <row r="157" spans="1:16" x14ac:dyDescent="0.25">
      <c r="A157" s="3">
        <v>44469</v>
      </c>
      <c r="B157" s="4" t="s">
        <v>35</v>
      </c>
      <c r="C157" s="5">
        <v>9</v>
      </c>
      <c r="D157" s="5" t="s">
        <v>106</v>
      </c>
      <c r="E157" s="5" t="s">
        <v>106</v>
      </c>
      <c r="F157" s="6">
        <v>0</v>
      </c>
      <c r="G157" s="7" t="str">
        <f>VLOOKUP(InputData[[#This Row],[PRODUCT ID]],MasterData[],2,0)</f>
        <v>Brocoli</v>
      </c>
      <c r="H157" s="7" t="str">
        <f>VLOOKUP(InputData[[#This Row],[PRODUCT ID]],MasterData[],3,0)</f>
        <v>Category02</v>
      </c>
      <c r="I157" s="7" t="str">
        <f>VLOOKUP(InputData[[#This Row],[PRODUCT ID]],MasterData[],4,0)</f>
        <v>Kg</v>
      </c>
      <c r="J157" s="7">
        <f>VLOOKUP(InputData[[#This Row],[PRODUCT ID]],MasterData[],5,0)</f>
        <v>112</v>
      </c>
      <c r="K157" s="8">
        <f>VLOOKUP(InputData[[#This Row],[PRODUCT ID]],MasterData[],6,0)</f>
        <v>146.72</v>
      </c>
      <c r="L157" s="8">
        <f>InputData[[#This Row],[BUYING PRIZE]]*InputData[[#This Row],[QUANTITY]]</f>
        <v>1008</v>
      </c>
      <c r="M157" s="8">
        <f>InputData[[#This Row],[SELLING PRICE]]*InputData[[#This Row],[QUANTITY]]*(1-InputData[[#This Row],[DISCOUNT %]])</f>
        <v>1320.48</v>
      </c>
      <c r="N157" s="7">
        <f>DAY(InputData[[#This Row],[DATE]])</f>
        <v>30</v>
      </c>
      <c r="O157" s="7" t="str">
        <f>TEXT(InputData[[#This Row],[DATE]],"MMM")</f>
        <v>Sep</v>
      </c>
      <c r="P157" s="7">
        <f>YEAR(InputData[[#This Row],[DATE]])</f>
        <v>2021</v>
      </c>
    </row>
    <row r="158" spans="1:16" x14ac:dyDescent="0.25">
      <c r="A158" s="3">
        <v>44471</v>
      </c>
      <c r="B158" s="4" t="s">
        <v>35</v>
      </c>
      <c r="C158" s="5">
        <v>15</v>
      </c>
      <c r="D158" s="5" t="s">
        <v>108</v>
      </c>
      <c r="E158" s="5" t="s">
        <v>106</v>
      </c>
      <c r="F158" s="6">
        <v>0</v>
      </c>
      <c r="G158" s="7" t="str">
        <f>VLOOKUP(InputData[[#This Row],[PRODUCT ID]],MasterData[],2,0)</f>
        <v>Brocoli</v>
      </c>
      <c r="H158" s="7" t="str">
        <f>VLOOKUP(InputData[[#This Row],[PRODUCT ID]],MasterData[],3,0)</f>
        <v>Category02</v>
      </c>
      <c r="I158" s="7" t="str">
        <f>VLOOKUP(InputData[[#This Row],[PRODUCT ID]],MasterData[],4,0)</f>
        <v>Kg</v>
      </c>
      <c r="J158" s="7">
        <f>VLOOKUP(InputData[[#This Row],[PRODUCT ID]],MasterData[],5,0)</f>
        <v>112</v>
      </c>
      <c r="K158" s="8">
        <f>VLOOKUP(InputData[[#This Row],[PRODUCT ID]],MasterData[],6,0)</f>
        <v>146.72</v>
      </c>
      <c r="L158" s="8">
        <f>InputData[[#This Row],[BUYING PRIZE]]*InputData[[#This Row],[QUANTITY]]</f>
        <v>1680</v>
      </c>
      <c r="M158" s="8">
        <f>InputData[[#This Row],[SELLING PRICE]]*InputData[[#This Row],[QUANTITY]]*(1-InputData[[#This Row],[DISCOUNT %]])</f>
        <v>2200.8000000000002</v>
      </c>
      <c r="N158" s="7">
        <f>DAY(InputData[[#This Row],[DATE]])</f>
        <v>2</v>
      </c>
      <c r="O158" s="7" t="str">
        <f>TEXT(InputData[[#This Row],[DATE]],"MMM")</f>
        <v>Oct</v>
      </c>
      <c r="P158" s="7">
        <f>YEAR(InputData[[#This Row],[DATE]])</f>
        <v>2021</v>
      </c>
    </row>
    <row r="159" spans="1:16" x14ac:dyDescent="0.25">
      <c r="A159" s="3">
        <v>44521</v>
      </c>
      <c r="B159" s="4" t="s">
        <v>35</v>
      </c>
      <c r="C159" s="5">
        <v>1</v>
      </c>
      <c r="D159" s="5" t="s">
        <v>105</v>
      </c>
      <c r="E159" s="5" t="s">
        <v>106</v>
      </c>
      <c r="F159" s="6">
        <v>0</v>
      </c>
      <c r="G159" s="7" t="str">
        <f>VLOOKUP(InputData[[#This Row],[PRODUCT ID]],MasterData[],2,0)</f>
        <v>Brocoli</v>
      </c>
      <c r="H159" s="7" t="str">
        <f>VLOOKUP(InputData[[#This Row],[PRODUCT ID]],MasterData[],3,0)</f>
        <v>Category02</v>
      </c>
      <c r="I159" s="7" t="str">
        <f>VLOOKUP(InputData[[#This Row],[PRODUCT ID]],MasterData[],4,0)</f>
        <v>Kg</v>
      </c>
      <c r="J159" s="7">
        <f>VLOOKUP(InputData[[#This Row],[PRODUCT ID]],MasterData[],5,0)</f>
        <v>112</v>
      </c>
      <c r="K159" s="8">
        <f>VLOOKUP(InputData[[#This Row],[PRODUCT ID]],MasterData[],6,0)</f>
        <v>146.72</v>
      </c>
      <c r="L159" s="8">
        <f>InputData[[#This Row],[BUYING PRIZE]]*InputData[[#This Row],[QUANTITY]]</f>
        <v>112</v>
      </c>
      <c r="M159" s="8">
        <f>InputData[[#This Row],[SELLING PRICE]]*InputData[[#This Row],[QUANTITY]]*(1-InputData[[#This Row],[DISCOUNT %]])</f>
        <v>146.72</v>
      </c>
      <c r="N159" s="7">
        <f>DAY(InputData[[#This Row],[DATE]])</f>
        <v>21</v>
      </c>
      <c r="O159" s="7" t="str">
        <f>TEXT(InputData[[#This Row],[DATE]],"MMM")</f>
        <v>Nov</v>
      </c>
      <c r="P159" s="7">
        <f>YEAR(InputData[[#This Row],[DATE]])</f>
        <v>2021</v>
      </c>
    </row>
    <row r="160" spans="1:16" x14ac:dyDescent="0.25">
      <c r="A160" s="3">
        <v>44577</v>
      </c>
      <c r="B160" s="4" t="s">
        <v>35</v>
      </c>
      <c r="C160" s="5">
        <v>11</v>
      </c>
      <c r="D160" s="5" t="s">
        <v>106</v>
      </c>
      <c r="E160" s="5" t="s">
        <v>107</v>
      </c>
      <c r="F160" s="6">
        <v>0</v>
      </c>
      <c r="G160" s="7" t="str">
        <f>VLOOKUP(InputData[[#This Row],[PRODUCT ID]],MasterData[],2,0)</f>
        <v>Brocoli</v>
      </c>
      <c r="H160" s="7" t="str">
        <f>VLOOKUP(InputData[[#This Row],[PRODUCT ID]],MasterData[],3,0)</f>
        <v>Category02</v>
      </c>
      <c r="I160" s="7" t="str">
        <f>VLOOKUP(InputData[[#This Row],[PRODUCT ID]],MasterData[],4,0)</f>
        <v>Kg</v>
      </c>
      <c r="J160" s="7">
        <f>VLOOKUP(InputData[[#This Row],[PRODUCT ID]],MasterData[],5,0)</f>
        <v>112</v>
      </c>
      <c r="K160" s="8">
        <f>VLOOKUP(InputData[[#This Row],[PRODUCT ID]],MasterData[],6,0)</f>
        <v>146.72</v>
      </c>
      <c r="L160" s="8">
        <f>InputData[[#This Row],[BUYING PRIZE]]*InputData[[#This Row],[QUANTITY]]</f>
        <v>1232</v>
      </c>
      <c r="M160" s="8">
        <f>InputData[[#This Row],[SELLING PRICE]]*InputData[[#This Row],[QUANTITY]]*(1-InputData[[#This Row],[DISCOUNT %]])</f>
        <v>1613.92</v>
      </c>
      <c r="N160" s="7">
        <f>DAY(InputData[[#This Row],[DATE]])</f>
        <v>16</v>
      </c>
      <c r="O160" s="7" t="str">
        <f>TEXT(InputData[[#This Row],[DATE]],"MMM")</f>
        <v>Jan</v>
      </c>
      <c r="P160" s="7">
        <f>YEAR(InputData[[#This Row],[DATE]])</f>
        <v>2022</v>
      </c>
    </row>
    <row r="161" spans="1:16" x14ac:dyDescent="0.25">
      <c r="A161" s="3">
        <v>44581</v>
      </c>
      <c r="B161" s="4" t="s">
        <v>35</v>
      </c>
      <c r="C161" s="5">
        <v>7</v>
      </c>
      <c r="D161" s="5" t="s">
        <v>106</v>
      </c>
      <c r="E161" s="5" t="s">
        <v>106</v>
      </c>
      <c r="F161" s="6">
        <v>0</v>
      </c>
      <c r="G161" s="7" t="str">
        <f>VLOOKUP(InputData[[#This Row],[PRODUCT ID]],MasterData[],2,0)</f>
        <v>Brocoli</v>
      </c>
      <c r="H161" s="7" t="str">
        <f>VLOOKUP(InputData[[#This Row],[PRODUCT ID]],MasterData[],3,0)</f>
        <v>Category02</v>
      </c>
      <c r="I161" s="7" t="str">
        <f>VLOOKUP(InputData[[#This Row],[PRODUCT ID]],MasterData[],4,0)</f>
        <v>Kg</v>
      </c>
      <c r="J161" s="7">
        <f>VLOOKUP(InputData[[#This Row],[PRODUCT ID]],MasterData[],5,0)</f>
        <v>112</v>
      </c>
      <c r="K161" s="8">
        <f>VLOOKUP(InputData[[#This Row],[PRODUCT ID]],MasterData[],6,0)</f>
        <v>146.72</v>
      </c>
      <c r="L161" s="8">
        <f>InputData[[#This Row],[BUYING PRIZE]]*InputData[[#This Row],[QUANTITY]]</f>
        <v>784</v>
      </c>
      <c r="M161" s="8">
        <f>InputData[[#This Row],[SELLING PRICE]]*InputData[[#This Row],[QUANTITY]]*(1-InputData[[#This Row],[DISCOUNT %]])</f>
        <v>1027.04</v>
      </c>
      <c r="N161" s="7">
        <f>DAY(InputData[[#This Row],[DATE]])</f>
        <v>20</v>
      </c>
      <c r="O161" s="7" t="str">
        <f>TEXT(InputData[[#This Row],[DATE]],"MMM")</f>
        <v>Jan</v>
      </c>
      <c r="P161" s="7">
        <f>YEAR(InputData[[#This Row],[DATE]])</f>
        <v>2022</v>
      </c>
    </row>
    <row r="162" spans="1:16" x14ac:dyDescent="0.25">
      <c r="A162" s="3">
        <v>44595</v>
      </c>
      <c r="B162" s="4" t="s">
        <v>35</v>
      </c>
      <c r="C162" s="5">
        <v>8</v>
      </c>
      <c r="D162" s="5" t="s">
        <v>108</v>
      </c>
      <c r="E162" s="5" t="s">
        <v>106</v>
      </c>
      <c r="F162" s="6">
        <v>0</v>
      </c>
      <c r="G162" s="7" t="str">
        <f>VLOOKUP(InputData[[#This Row],[PRODUCT ID]],MasterData[],2,0)</f>
        <v>Brocoli</v>
      </c>
      <c r="H162" s="7" t="str">
        <f>VLOOKUP(InputData[[#This Row],[PRODUCT ID]],MasterData[],3,0)</f>
        <v>Category02</v>
      </c>
      <c r="I162" s="7" t="str">
        <f>VLOOKUP(InputData[[#This Row],[PRODUCT ID]],MasterData[],4,0)</f>
        <v>Kg</v>
      </c>
      <c r="J162" s="7">
        <f>VLOOKUP(InputData[[#This Row],[PRODUCT ID]],MasterData[],5,0)</f>
        <v>112</v>
      </c>
      <c r="K162" s="8">
        <f>VLOOKUP(InputData[[#This Row],[PRODUCT ID]],MasterData[],6,0)</f>
        <v>146.72</v>
      </c>
      <c r="L162" s="8">
        <f>InputData[[#This Row],[BUYING PRIZE]]*InputData[[#This Row],[QUANTITY]]</f>
        <v>896</v>
      </c>
      <c r="M162" s="8">
        <f>InputData[[#This Row],[SELLING PRICE]]*InputData[[#This Row],[QUANTITY]]*(1-InputData[[#This Row],[DISCOUNT %]])</f>
        <v>1173.76</v>
      </c>
      <c r="N162" s="7">
        <f>DAY(InputData[[#This Row],[DATE]])</f>
        <v>3</v>
      </c>
      <c r="O162" s="7" t="str">
        <f>TEXT(InputData[[#This Row],[DATE]],"MMM")</f>
        <v>Feb</v>
      </c>
      <c r="P162" s="7">
        <f>YEAR(InputData[[#This Row],[DATE]])</f>
        <v>2022</v>
      </c>
    </row>
    <row r="163" spans="1:16" x14ac:dyDescent="0.25">
      <c r="A163" s="3">
        <v>44679</v>
      </c>
      <c r="B163" s="4" t="s">
        <v>35</v>
      </c>
      <c r="C163" s="5">
        <v>14</v>
      </c>
      <c r="D163" s="5" t="s">
        <v>108</v>
      </c>
      <c r="E163" s="5" t="s">
        <v>107</v>
      </c>
      <c r="F163" s="6">
        <v>0</v>
      </c>
      <c r="G163" s="7" t="str">
        <f>VLOOKUP(InputData[[#This Row],[PRODUCT ID]],MasterData[],2,0)</f>
        <v>Brocoli</v>
      </c>
      <c r="H163" s="7" t="str">
        <f>VLOOKUP(InputData[[#This Row],[PRODUCT ID]],MasterData[],3,0)</f>
        <v>Category02</v>
      </c>
      <c r="I163" s="7" t="str">
        <f>VLOOKUP(InputData[[#This Row],[PRODUCT ID]],MasterData[],4,0)</f>
        <v>Kg</v>
      </c>
      <c r="J163" s="7">
        <f>VLOOKUP(InputData[[#This Row],[PRODUCT ID]],MasterData[],5,0)</f>
        <v>112</v>
      </c>
      <c r="K163" s="8">
        <f>VLOOKUP(InputData[[#This Row],[PRODUCT ID]],MasterData[],6,0)</f>
        <v>146.72</v>
      </c>
      <c r="L163" s="8">
        <f>InputData[[#This Row],[BUYING PRIZE]]*InputData[[#This Row],[QUANTITY]]</f>
        <v>1568</v>
      </c>
      <c r="M163" s="8">
        <f>InputData[[#This Row],[SELLING PRICE]]*InputData[[#This Row],[QUANTITY]]*(1-InputData[[#This Row],[DISCOUNT %]])</f>
        <v>2054.08</v>
      </c>
      <c r="N163" s="7">
        <f>DAY(InputData[[#This Row],[DATE]])</f>
        <v>28</v>
      </c>
      <c r="O163" s="7" t="str">
        <f>TEXT(InputData[[#This Row],[DATE]],"MMM")</f>
        <v>Apr</v>
      </c>
      <c r="P163" s="7">
        <f>YEAR(InputData[[#This Row],[DATE]])</f>
        <v>2022</v>
      </c>
    </row>
    <row r="164" spans="1:16" x14ac:dyDescent="0.25">
      <c r="A164" s="3">
        <v>44906</v>
      </c>
      <c r="B164" s="4" t="s">
        <v>35</v>
      </c>
      <c r="C164" s="5">
        <v>10</v>
      </c>
      <c r="D164" s="5" t="s">
        <v>106</v>
      </c>
      <c r="E164" s="5" t="s">
        <v>107</v>
      </c>
      <c r="F164" s="6">
        <v>0</v>
      </c>
      <c r="G164" s="7" t="str">
        <f>VLOOKUP(InputData[[#This Row],[PRODUCT ID]],MasterData[],2,0)</f>
        <v>Brocoli</v>
      </c>
      <c r="H164" s="7" t="str">
        <f>VLOOKUP(InputData[[#This Row],[PRODUCT ID]],MasterData[],3,0)</f>
        <v>Category02</v>
      </c>
      <c r="I164" s="7" t="str">
        <f>VLOOKUP(InputData[[#This Row],[PRODUCT ID]],MasterData[],4,0)</f>
        <v>Kg</v>
      </c>
      <c r="J164" s="7">
        <f>VLOOKUP(InputData[[#This Row],[PRODUCT ID]],MasterData[],5,0)</f>
        <v>112</v>
      </c>
      <c r="K164" s="8">
        <f>VLOOKUP(InputData[[#This Row],[PRODUCT ID]],MasterData[],6,0)</f>
        <v>146.72</v>
      </c>
      <c r="L164" s="8">
        <f>InputData[[#This Row],[BUYING PRIZE]]*InputData[[#This Row],[QUANTITY]]</f>
        <v>1120</v>
      </c>
      <c r="M164" s="8">
        <f>InputData[[#This Row],[SELLING PRICE]]*InputData[[#This Row],[QUANTITY]]*(1-InputData[[#This Row],[DISCOUNT %]])</f>
        <v>1467.2</v>
      </c>
      <c r="N164" s="7">
        <f>DAY(InputData[[#This Row],[DATE]])</f>
        <v>11</v>
      </c>
      <c r="O164" s="7" t="str">
        <f>TEXT(InputData[[#This Row],[DATE]],"MMM")</f>
        <v>Dec</v>
      </c>
      <c r="P164" s="7">
        <f>YEAR(InputData[[#This Row],[DATE]])</f>
        <v>2022</v>
      </c>
    </row>
    <row r="165" spans="1:16" x14ac:dyDescent="0.25">
      <c r="A165" s="3">
        <v>44245</v>
      </c>
      <c r="B165" s="4" t="s">
        <v>37</v>
      </c>
      <c r="C165" s="5">
        <v>6</v>
      </c>
      <c r="D165" s="5" t="s">
        <v>106</v>
      </c>
      <c r="E165" s="5" t="s">
        <v>107</v>
      </c>
      <c r="F165" s="6">
        <v>0</v>
      </c>
      <c r="G165" s="7" t="str">
        <f>VLOOKUP(InputData[[#This Row],[PRODUCT ID]],MasterData[],2,0)</f>
        <v>Butter</v>
      </c>
      <c r="H165" s="7" t="str">
        <f>VLOOKUP(InputData[[#This Row],[PRODUCT ID]],MasterData[],3,0)</f>
        <v>Category02</v>
      </c>
      <c r="I165" s="7" t="str">
        <f>VLOOKUP(InputData[[#This Row],[PRODUCT ID]],MasterData[],4,0)</f>
        <v>No.</v>
      </c>
      <c r="J165" s="7">
        <f>VLOOKUP(InputData[[#This Row],[PRODUCT ID]],MasterData[],5,0)</f>
        <v>12</v>
      </c>
      <c r="K165" s="8">
        <f>VLOOKUP(InputData[[#This Row],[PRODUCT ID]],MasterData[],6,0)</f>
        <v>15.719999999999999</v>
      </c>
      <c r="L165" s="8">
        <f>InputData[[#This Row],[BUYING PRIZE]]*InputData[[#This Row],[QUANTITY]]</f>
        <v>72</v>
      </c>
      <c r="M165" s="8">
        <f>InputData[[#This Row],[SELLING PRICE]]*InputData[[#This Row],[QUANTITY]]*(1-InputData[[#This Row],[DISCOUNT %]])</f>
        <v>94.32</v>
      </c>
      <c r="N165" s="7">
        <f>DAY(InputData[[#This Row],[DATE]])</f>
        <v>18</v>
      </c>
      <c r="O165" s="7" t="str">
        <f>TEXT(InputData[[#This Row],[DATE]],"MMM")</f>
        <v>Feb</v>
      </c>
      <c r="P165" s="7">
        <f>YEAR(InputData[[#This Row],[DATE]])</f>
        <v>2021</v>
      </c>
    </row>
    <row r="166" spans="1:16" x14ac:dyDescent="0.25">
      <c r="A166" s="3">
        <v>44320</v>
      </c>
      <c r="B166" s="4" t="s">
        <v>37</v>
      </c>
      <c r="C166" s="5">
        <v>13</v>
      </c>
      <c r="D166" s="5" t="s">
        <v>106</v>
      </c>
      <c r="E166" s="5" t="s">
        <v>106</v>
      </c>
      <c r="F166" s="6">
        <v>0</v>
      </c>
      <c r="G166" s="7" t="str">
        <f>VLOOKUP(InputData[[#This Row],[PRODUCT ID]],MasterData[],2,0)</f>
        <v>Butter</v>
      </c>
      <c r="H166" s="7" t="str">
        <f>VLOOKUP(InputData[[#This Row],[PRODUCT ID]],MasterData[],3,0)</f>
        <v>Category02</v>
      </c>
      <c r="I166" s="7" t="str">
        <f>VLOOKUP(InputData[[#This Row],[PRODUCT ID]],MasterData[],4,0)</f>
        <v>No.</v>
      </c>
      <c r="J166" s="7">
        <f>VLOOKUP(InputData[[#This Row],[PRODUCT ID]],MasterData[],5,0)</f>
        <v>12</v>
      </c>
      <c r="K166" s="8">
        <f>VLOOKUP(InputData[[#This Row],[PRODUCT ID]],MasterData[],6,0)</f>
        <v>15.719999999999999</v>
      </c>
      <c r="L166" s="8">
        <f>InputData[[#This Row],[BUYING PRIZE]]*InputData[[#This Row],[QUANTITY]]</f>
        <v>156</v>
      </c>
      <c r="M166" s="8">
        <f>InputData[[#This Row],[SELLING PRICE]]*InputData[[#This Row],[QUANTITY]]*(1-InputData[[#This Row],[DISCOUNT %]])</f>
        <v>204.35999999999999</v>
      </c>
      <c r="N166" s="7">
        <f>DAY(InputData[[#This Row],[DATE]])</f>
        <v>4</v>
      </c>
      <c r="O166" s="7" t="str">
        <f>TEXT(InputData[[#This Row],[DATE]],"MMM")</f>
        <v>May</v>
      </c>
      <c r="P166" s="7">
        <f>YEAR(InputData[[#This Row],[DATE]])</f>
        <v>2021</v>
      </c>
    </row>
    <row r="167" spans="1:16" x14ac:dyDescent="0.25">
      <c r="A167" s="3">
        <v>44363</v>
      </c>
      <c r="B167" s="4" t="s">
        <v>37</v>
      </c>
      <c r="C167" s="5">
        <v>12</v>
      </c>
      <c r="D167" s="5" t="s">
        <v>106</v>
      </c>
      <c r="E167" s="5" t="s">
        <v>107</v>
      </c>
      <c r="F167" s="6">
        <v>0</v>
      </c>
      <c r="G167" s="7" t="str">
        <f>VLOOKUP(InputData[[#This Row],[PRODUCT ID]],MasterData[],2,0)</f>
        <v>Butter</v>
      </c>
      <c r="H167" s="7" t="str">
        <f>VLOOKUP(InputData[[#This Row],[PRODUCT ID]],MasterData[],3,0)</f>
        <v>Category02</v>
      </c>
      <c r="I167" s="7" t="str">
        <f>VLOOKUP(InputData[[#This Row],[PRODUCT ID]],MasterData[],4,0)</f>
        <v>No.</v>
      </c>
      <c r="J167" s="7">
        <f>VLOOKUP(InputData[[#This Row],[PRODUCT ID]],MasterData[],5,0)</f>
        <v>12</v>
      </c>
      <c r="K167" s="8">
        <f>VLOOKUP(InputData[[#This Row],[PRODUCT ID]],MasterData[],6,0)</f>
        <v>15.719999999999999</v>
      </c>
      <c r="L167" s="8">
        <f>InputData[[#This Row],[BUYING PRIZE]]*InputData[[#This Row],[QUANTITY]]</f>
        <v>144</v>
      </c>
      <c r="M167" s="8">
        <f>InputData[[#This Row],[SELLING PRICE]]*InputData[[#This Row],[QUANTITY]]*(1-InputData[[#This Row],[DISCOUNT %]])</f>
        <v>188.64</v>
      </c>
      <c r="N167" s="7">
        <f>DAY(InputData[[#This Row],[DATE]])</f>
        <v>16</v>
      </c>
      <c r="O167" s="7" t="str">
        <f>TEXT(InputData[[#This Row],[DATE]],"MMM")</f>
        <v>Jun</v>
      </c>
      <c r="P167" s="7">
        <f>YEAR(InputData[[#This Row],[DATE]])</f>
        <v>2021</v>
      </c>
    </row>
    <row r="168" spans="1:16" x14ac:dyDescent="0.25">
      <c r="A168" s="3">
        <v>44563</v>
      </c>
      <c r="B168" s="4" t="s">
        <v>37</v>
      </c>
      <c r="C168" s="5">
        <v>2</v>
      </c>
      <c r="D168" s="5" t="s">
        <v>106</v>
      </c>
      <c r="E168" s="5" t="s">
        <v>107</v>
      </c>
      <c r="F168" s="6">
        <v>0</v>
      </c>
      <c r="G168" s="7" t="str">
        <f>VLOOKUP(InputData[[#This Row],[PRODUCT ID]],MasterData[],2,0)</f>
        <v>Butter</v>
      </c>
      <c r="H168" s="7" t="str">
        <f>VLOOKUP(InputData[[#This Row],[PRODUCT ID]],MasterData[],3,0)</f>
        <v>Category02</v>
      </c>
      <c r="I168" s="7" t="str">
        <f>VLOOKUP(InputData[[#This Row],[PRODUCT ID]],MasterData[],4,0)</f>
        <v>No.</v>
      </c>
      <c r="J168" s="7">
        <f>VLOOKUP(InputData[[#This Row],[PRODUCT ID]],MasterData[],5,0)</f>
        <v>12</v>
      </c>
      <c r="K168" s="8">
        <f>VLOOKUP(InputData[[#This Row],[PRODUCT ID]],MasterData[],6,0)</f>
        <v>15.719999999999999</v>
      </c>
      <c r="L168" s="8">
        <f>InputData[[#This Row],[BUYING PRIZE]]*InputData[[#This Row],[QUANTITY]]</f>
        <v>24</v>
      </c>
      <c r="M168" s="8">
        <f>InputData[[#This Row],[SELLING PRICE]]*InputData[[#This Row],[QUANTITY]]*(1-InputData[[#This Row],[DISCOUNT %]])</f>
        <v>31.439999999999998</v>
      </c>
      <c r="N168" s="7">
        <f>DAY(InputData[[#This Row],[DATE]])</f>
        <v>2</v>
      </c>
      <c r="O168" s="7" t="str">
        <f>TEXT(InputData[[#This Row],[DATE]],"MMM")</f>
        <v>Jan</v>
      </c>
      <c r="P168" s="7">
        <f>YEAR(InputData[[#This Row],[DATE]])</f>
        <v>2022</v>
      </c>
    </row>
    <row r="169" spans="1:16" x14ac:dyDescent="0.25">
      <c r="A169" s="3">
        <v>44688</v>
      </c>
      <c r="B169" s="4" t="s">
        <v>37</v>
      </c>
      <c r="C169" s="5">
        <v>4</v>
      </c>
      <c r="D169" s="5" t="s">
        <v>106</v>
      </c>
      <c r="E169" s="5" t="s">
        <v>107</v>
      </c>
      <c r="F169" s="6">
        <v>0</v>
      </c>
      <c r="G169" s="7" t="str">
        <f>VLOOKUP(InputData[[#This Row],[PRODUCT ID]],MasterData[],2,0)</f>
        <v>Butter</v>
      </c>
      <c r="H169" s="7" t="str">
        <f>VLOOKUP(InputData[[#This Row],[PRODUCT ID]],MasterData[],3,0)</f>
        <v>Category02</v>
      </c>
      <c r="I169" s="7" t="str">
        <f>VLOOKUP(InputData[[#This Row],[PRODUCT ID]],MasterData[],4,0)</f>
        <v>No.</v>
      </c>
      <c r="J169" s="7">
        <f>VLOOKUP(InputData[[#This Row],[PRODUCT ID]],MasterData[],5,0)</f>
        <v>12</v>
      </c>
      <c r="K169" s="8">
        <f>VLOOKUP(InputData[[#This Row],[PRODUCT ID]],MasterData[],6,0)</f>
        <v>15.719999999999999</v>
      </c>
      <c r="L169" s="8">
        <f>InputData[[#This Row],[BUYING PRIZE]]*InputData[[#This Row],[QUANTITY]]</f>
        <v>48</v>
      </c>
      <c r="M169" s="8">
        <f>InputData[[#This Row],[SELLING PRICE]]*InputData[[#This Row],[QUANTITY]]*(1-InputData[[#This Row],[DISCOUNT %]])</f>
        <v>62.879999999999995</v>
      </c>
      <c r="N169" s="7">
        <f>DAY(InputData[[#This Row],[DATE]])</f>
        <v>7</v>
      </c>
      <c r="O169" s="7" t="str">
        <f>TEXT(InputData[[#This Row],[DATE]],"MMM")</f>
        <v>May</v>
      </c>
      <c r="P169" s="7">
        <f>YEAR(InputData[[#This Row],[DATE]])</f>
        <v>2022</v>
      </c>
    </row>
    <row r="170" spans="1:16" x14ac:dyDescent="0.25">
      <c r="A170" s="3">
        <v>44703</v>
      </c>
      <c r="B170" s="4" t="s">
        <v>37</v>
      </c>
      <c r="C170" s="5">
        <v>12</v>
      </c>
      <c r="D170" s="5" t="s">
        <v>108</v>
      </c>
      <c r="E170" s="5" t="s">
        <v>106</v>
      </c>
      <c r="F170" s="6">
        <v>0</v>
      </c>
      <c r="G170" s="7" t="str">
        <f>VLOOKUP(InputData[[#This Row],[PRODUCT ID]],MasterData[],2,0)</f>
        <v>Butter</v>
      </c>
      <c r="H170" s="7" t="str">
        <f>VLOOKUP(InputData[[#This Row],[PRODUCT ID]],MasterData[],3,0)</f>
        <v>Category02</v>
      </c>
      <c r="I170" s="7" t="str">
        <f>VLOOKUP(InputData[[#This Row],[PRODUCT ID]],MasterData[],4,0)</f>
        <v>No.</v>
      </c>
      <c r="J170" s="7">
        <f>VLOOKUP(InputData[[#This Row],[PRODUCT ID]],MasterData[],5,0)</f>
        <v>12</v>
      </c>
      <c r="K170" s="8">
        <f>VLOOKUP(InputData[[#This Row],[PRODUCT ID]],MasterData[],6,0)</f>
        <v>15.719999999999999</v>
      </c>
      <c r="L170" s="8">
        <f>InputData[[#This Row],[BUYING PRIZE]]*InputData[[#This Row],[QUANTITY]]</f>
        <v>144</v>
      </c>
      <c r="M170" s="8">
        <f>InputData[[#This Row],[SELLING PRICE]]*InputData[[#This Row],[QUANTITY]]*(1-InputData[[#This Row],[DISCOUNT %]])</f>
        <v>188.64</v>
      </c>
      <c r="N170" s="7">
        <f>DAY(InputData[[#This Row],[DATE]])</f>
        <v>22</v>
      </c>
      <c r="O170" s="7" t="str">
        <f>TEXT(InputData[[#This Row],[DATE]],"MMM")</f>
        <v>May</v>
      </c>
      <c r="P170" s="7">
        <f>YEAR(InputData[[#This Row],[DATE]])</f>
        <v>2022</v>
      </c>
    </row>
    <row r="171" spans="1:16" x14ac:dyDescent="0.25">
      <c r="A171" s="3">
        <v>44747</v>
      </c>
      <c r="B171" s="4" t="s">
        <v>37</v>
      </c>
      <c r="C171" s="5">
        <v>8</v>
      </c>
      <c r="D171" s="5" t="s">
        <v>108</v>
      </c>
      <c r="E171" s="5" t="s">
        <v>106</v>
      </c>
      <c r="F171" s="6">
        <v>0</v>
      </c>
      <c r="G171" s="7" t="str">
        <f>VLOOKUP(InputData[[#This Row],[PRODUCT ID]],MasterData[],2,0)</f>
        <v>Butter</v>
      </c>
      <c r="H171" s="7" t="str">
        <f>VLOOKUP(InputData[[#This Row],[PRODUCT ID]],MasterData[],3,0)</f>
        <v>Category02</v>
      </c>
      <c r="I171" s="7" t="str">
        <f>VLOOKUP(InputData[[#This Row],[PRODUCT ID]],MasterData[],4,0)</f>
        <v>No.</v>
      </c>
      <c r="J171" s="7">
        <f>VLOOKUP(InputData[[#This Row],[PRODUCT ID]],MasterData[],5,0)</f>
        <v>12</v>
      </c>
      <c r="K171" s="8">
        <f>VLOOKUP(InputData[[#This Row],[PRODUCT ID]],MasterData[],6,0)</f>
        <v>15.719999999999999</v>
      </c>
      <c r="L171" s="8">
        <f>InputData[[#This Row],[BUYING PRIZE]]*InputData[[#This Row],[QUANTITY]]</f>
        <v>96</v>
      </c>
      <c r="M171" s="8">
        <f>InputData[[#This Row],[SELLING PRICE]]*InputData[[#This Row],[QUANTITY]]*(1-InputData[[#This Row],[DISCOUNT %]])</f>
        <v>125.75999999999999</v>
      </c>
      <c r="N171" s="7">
        <f>DAY(InputData[[#This Row],[DATE]])</f>
        <v>5</v>
      </c>
      <c r="O171" s="7" t="str">
        <f>TEXT(InputData[[#This Row],[DATE]],"MMM")</f>
        <v>Jul</v>
      </c>
      <c r="P171" s="7">
        <f>YEAR(InputData[[#This Row],[DATE]])</f>
        <v>2022</v>
      </c>
    </row>
    <row r="172" spans="1:16" x14ac:dyDescent="0.25">
      <c r="A172" s="3">
        <v>44788</v>
      </c>
      <c r="B172" s="4" t="s">
        <v>37</v>
      </c>
      <c r="C172" s="5">
        <v>7</v>
      </c>
      <c r="D172" s="5" t="s">
        <v>108</v>
      </c>
      <c r="E172" s="5" t="s">
        <v>106</v>
      </c>
      <c r="F172" s="6">
        <v>0</v>
      </c>
      <c r="G172" s="7" t="str">
        <f>VLOOKUP(InputData[[#This Row],[PRODUCT ID]],MasterData[],2,0)</f>
        <v>Butter</v>
      </c>
      <c r="H172" s="7" t="str">
        <f>VLOOKUP(InputData[[#This Row],[PRODUCT ID]],MasterData[],3,0)</f>
        <v>Category02</v>
      </c>
      <c r="I172" s="7" t="str">
        <f>VLOOKUP(InputData[[#This Row],[PRODUCT ID]],MasterData[],4,0)</f>
        <v>No.</v>
      </c>
      <c r="J172" s="7">
        <f>VLOOKUP(InputData[[#This Row],[PRODUCT ID]],MasterData[],5,0)</f>
        <v>12</v>
      </c>
      <c r="K172" s="8">
        <f>VLOOKUP(InputData[[#This Row],[PRODUCT ID]],MasterData[],6,0)</f>
        <v>15.719999999999999</v>
      </c>
      <c r="L172" s="8">
        <f>InputData[[#This Row],[BUYING PRIZE]]*InputData[[#This Row],[QUANTITY]]</f>
        <v>84</v>
      </c>
      <c r="M172" s="8">
        <f>InputData[[#This Row],[SELLING PRICE]]*InputData[[#This Row],[QUANTITY]]*(1-InputData[[#This Row],[DISCOUNT %]])</f>
        <v>110.03999999999999</v>
      </c>
      <c r="N172" s="7">
        <f>DAY(InputData[[#This Row],[DATE]])</f>
        <v>15</v>
      </c>
      <c r="O172" s="7" t="str">
        <f>TEXT(InputData[[#This Row],[DATE]],"MMM")</f>
        <v>Aug</v>
      </c>
      <c r="P172" s="7">
        <f>YEAR(InputData[[#This Row],[DATE]])</f>
        <v>2022</v>
      </c>
    </row>
    <row r="173" spans="1:16" x14ac:dyDescent="0.25">
      <c r="A173" s="3">
        <v>44804</v>
      </c>
      <c r="B173" s="4" t="s">
        <v>37</v>
      </c>
      <c r="C173" s="5">
        <v>13</v>
      </c>
      <c r="D173" s="5" t="s">
        <v>108</v>
      </c>
      <c r="E173" s="5" t="s">
        <v>107</v>
      </c>
      <c r="F173" s="6">
        <v>0</v>
      </c>
      <c r="G173" s="7" t="str">
        <f>VLOOKUP(InputData[[#This Row],[PRODUCT ID]],MasterData[],2,0)</f>
        <v>Butter</v>
      </c>
      <c r="H173" s="7" t="str">
        <f>VLOOKUP(InputData[[#This Row],[PRODUCT ID]],MasterData[],3,0)</f>
        <v>Category02</v>
      </c>
      <c r="I173" s="7" t="str">
        <f>VLOOKUP(InputData[[#This Row],[PRODUCT ID]],MasterData[],4,0)</f>
        <v>No.</v>
      </c>
      <c r="J173" s="7">
        <f>VLOOKUP(InputData[[#This Row],[PRODUCT ID]],MasterData[],5,0)</f>
        <v>12</v>
      </c>
      <c r="K173" s="8">
        <f>VLOOKUP(InputData[[#This Row],[PRODUCT ID]],MasterData[],6,0)</f>
        <v>15.719999999999999</v>
      </c>
      <c r="L173" s="8">
        <f>InputData[[#This Row],[BUYING PRIZE]]*InputData[[#This Row],[QUANTITY]]</f>
        <v>156</v>
      </c>
      <c r="M173" s="8">
        <f>InputData[[#This Row],[SELLING PRICE]]*InputData[[#This Row],[QUANTITY]]*(1-InputData[[#This Row],[DISCOUNT %]])</f>
        <v>204.35999999999999</v>
      </c>
      <c r="N173" s="7">
        <f>DAY(InputData[[#This Row],[DATE]])</f>
        <v>31</v>
      </c>
      <c r="O173" s="7" t="str">
        <f>TEXT(InputData[[#This Row],[DATE]],"MMM")</f>
        <v>Aug</v>
      </c>
      <c r="P173" s="7">
        <f>YEAR(InputData[[#This Row],[DATE]])</f>
        <v>2022</v>
      </c>
    </row>
    <row r="174" spans="1:16" x14ac:dyDescent="0.25">
      <c r="A174" s="3">
        <v>44849</v>
      </c>
      <c r="B174" s="4" t="s">
        <v>37</v>
      </c>
      <c r="C174" s="5">
        <v>10</v>
      </c>
      <c r="D174" s="5" t="s">
        <v>108</v>
      </c>
      <c r="E174" s="5" t="s">
        <v>107</v>
      </c>
      <c r="F174" s="6">
        <v>0</v>
      </c>
      <c r="G174" s="7" t="str">
        <f>VLOOKUP(InputData[[#This Row],[PRODUCT ID]],MasterData[],2,0)</f>
        <v>Butter</v>
      </c>
      <c r="H174" s="7" t="str">
        <f>VLOOKUP(InputData[[#This Row],[PRODUCT ID]],MasterData[],3,0)</f>
        <v>Category02</v>
      </c>
      <c r="I174" s="7" t="str">
        <f>VLOOKUP(InputData[[#This Row],[PRODUCT ID]],MasterData[],4,0)</f>
        <v>No.</v>
      </c>
      <c r="J174" s="7">
        <f>VLOOKUP(InputData[[#This Row],[PRODUCT ID]],MasterData[],5,0)</f>
        <v>12</v>
      </c>
      <c r="K174" s="8">
        <f>VLOOKUP(InputData[[#This Row],[PRODUCT ID]],MasterData[],6,0)</f>
        <v>15.719999999999999</v>
      </c>
      <c r="L174" s="8">
        <f>InputData[[#This Row],[BUYING PRIZE]]*InputData[[#This Row],[QUANTITY]]</f>
        <v>120</v>
      </c>
      <c r="M174" s="8">
        <f>InputData[[#This Row],[SELLING PRICE]]*InputData[[#This Row],[QUANTITY]]*(1-InputData[[#This Row],[DISCOUNT %]])</f>
        <v>157.19999999999999</v>
      </c>
      <c r="N174" s="7">
        <f>DAY(InputData[[#This Row],[DATE]])</f>
        <v>15</v>
      </c>
      <c r="O174" s="7" t="str">
        <f>TEXT(InputData[[#This Row],[DATE]],"MMM")</f>
        <v>Oct</v>
      </c>
      <c r="P174" s="7">
        <f>YEAR(InputData[[#This Row],[DATE]])</f>
        <v>2022</v>
      </c>
    </row>
    <row r="175" spans="1:16" x14ac:dyDescent="0.25">
      <c r="A175" s="3">
        <v>44867</v>
      </c>
      <c r="B175" s="4" t="s">
        <v>37</v>
      </c>
      <c r="C175" s="5">
        <v>15</v>
      </c>
      <c r="D175" s="5" t="s">
        <v>105</v>
      </c>
      <c r="E175" s="5" t="s">
        <v>107</v>
      </c>
      <c r="F175" s="6">
        <v>0</v>
      </c>
      <c r="G175" s="7" t="str">
        <f>VLOOKUP(InputData[[#This Row],[PRODUCT ID]],MasterData[],2,0)</f>
        <v>Butter</v>
      </c>
      <c r="H175" s="7" t="str">
        <f>VLOOKUP(InputData[[#This Row],[PRODUCT ID]],MasterData[],3,0)</f>
        <v>Category02</v>
      </c>
      <c r="I175" s="7" t="str">
        <f>VLOOKUP(InputData[[#This Row],[PRODUCT ID]],MasterData[],4,0)</f>
        <v>No.</v>
      </c>
      <c r="J175" s="7">
        <f>VLOOKUP(InputData[[#This Row],[PRODUCT ID]],MasterData[],5,0)</f>
        <v>12</v>
      </c>
      <c r="K175" s="8">
        <f>VLOOKUP(InputData[[#This Row],[PRODUCT ID]],MasterData[],6,0)</f>
        <v>15.719999999999999</v>
      </c>
      <c r="L175" s="8">
        <f>InputData[[#This Row],[BUYING PRIZE]]*InputData[[#This Row],[QUANTITY]]</f>
        <v>180</v>
      </c>
      <c r="M175" s="8">
        <f>InputData[[#This Row],[SELLING PRICE]]*InputData[[#This Row],[QUANTITY]]*(1-InputData[[#This Row],[DISCOUNT %]])</f>
        <v>235.79999999999998</v>
      </c>
      <c r="N175" s="7">
        <f>DAY(InputData[[#This Row],[DATE]])</f>
        <v>2</v>
      </c>
      <c r="O175" s="7" t="str">
        <f>TEXT(InputData[[#This Row],[DATE]],"MMM")</f>
        <v>Nov</v>
      </c>
      <c r="P175" s="7">
        <f>YEAR(InputData[[#This Row],[DATE]])</f>
        <v>2022</v>
      </c>
    </row>
    <row r="176" spans="1:16" x14ac:dyDescent="0.25">
      <c r="A176" s="3">
        <v>44871</v>
      </c>
      <c r="B176" s="4" t="s">
        <v>37</v>
      </c>
      <c r="C176" s="5">
        <v>13</v>
      </c>
      <c r="D176" s="5" t="s">
        <v>106</v>
      </c>
      <c r="E176" s="5" t="s">
        <v>106</v>
      </c>
      <c r="F176" s="6">
        <v>0</v>
      </c>
      <c r="G176" s="7" t="str">
        <f>VLOOKUP(InputData[[#This Row],[PRODUCT ID]],MasterData[],2,0)</f>
        <v>Butter</v>
      </c>
      <c r="H176" s="7" t="str">
        <f>VLOOKUP(InputData[[#This Row],[PRODUCT ID]],MasterData[],3,0)</f>
        <v>Category02</v>
      </c>
      <c r="I176" s="7" t="str">
        <f>VLOOKUP(InputData[[#This Row],[PRODUCT ID]],MasterData[],4,0)</f>
        <v>No.</v>
      </c>
      <c r="J176" s="7">
        <f>VLOOKUP(InputData[[#This Row],[PRODUCT ID]],MasterData[],5,0)</f>
        <v>12</v>
      </c>
      <c r="K176" s="8">
        <f>VLOOKUP(InputData[[#This Row],[PRODUCT ID]],MasterData[],6,0)</f>
        <v>15.719999999999999</v>
      </c>
      <c r="L176" s="8">
        <f>InputData[[#This Row],[BUYING PRIZE]]*InputData[[#This Row],[QUANTITY]]</f>
        <v>156</v>
      </c>
      <c r="M176" s="8">
        <f>InputData[[#This Row],[SELLING PRICE]]*InputData[[#This Row],[QUANTITY]]*(1-InputData[[#This Row],[DISCOUNT %]])</f>
        <v>204.35999999999999</v>
      </c>
      <c r="N176" s="7">
        <f>DAY(InputData[[#This Row],[DATE]])</f>
        <v>6</v>
      </c>
      <c r="O176" s="7" t="str">
        <f>TEXT(InputData[[#This Row],[DATE]],"MMM")</f>
        <v>Nov</v>
      </c>
      <c r="P176" s="7">
        <f>YEAR(InputData[[#This Row],[DATE]])</f>
        <v>2022</v>
      </c>
    </row>
    <row r="177" spans="1:16" x14ac:dyDescent="0.25">
      <c r="A177" s="3">
        <v>44895</v>
      </c>
      <c r="B177" s="4" t="s">
        <v>37</v>
      </c>
      <c r="C177" s="5">
        <v>2</v>
      </c>
      <c r="D177" s="5" t="s">
        <v>108</v>
      </c>
      <c r="E177" s="5" t="s">
        <v>106</v>
      </c>
      <c r="F177" s="6">
        <v>0</v>
      </c>
      <c r="G177" s="7" t="str">
        <f>VLOOKUP(InputData[[#This Row],[PRODUCT ID]],MasterData[],2,0)</f>
        <v>Butter</v>
      </c>
      <c r="H177" s="7" t="str">
        <f>VLOOKUP(InputData[[#This Row],[PRODUCT ID]],MasterData[],3,0)</f>
        <v>Category02</v>
      </c>
      <c r="I177" s="7" t="str">
        <f>VLOOKUP(InputData[[#This Row],[PRODUCT ID]],MasterData[],4,0)</f>
        <v>No.</v>
      </c>
      <c r="J177" s="7">
        <f>VLOOKUP(InputData[[#This Row],[PRODUCT ID]],MasterData[],5,0)</f>
        <v>12</v>
      </c>
      <c r="K177" s="8">
        <f>VLOOKUP(InputData[[#This Row],[PRODUCT ID]],MasterData[],6,0)</f>
        <v>15.719999999999999</v>
      </c>
      <c r="L177" s="8">
        <f>InputData[[#This Row],[BUYING PRIZE]]*InputData[[#This Row],[QUANTITY]]</f>
        <v>24</v>
      </c>
      <c r="M177" s="8">
        <f>InputData[[#This Row],[SELLING PRICE]]*InputData[[#This Row],[QUANTITY]]*(1-InputData[[#This Row],[DISCOUNT %]])</f>
        <v>31.439999999999998</v>
      </c>
      <c r="N177" s="7">
        <f>DAY(InputData[[#This Row],[DATE]])</f>
        <v>30</v>
      </c>
      <c r="O177" s="7" t="str">
        <f>TEXT(InputData[[#This Row],[DATE]],"MMM")</f>
        <v>Nov</v>
      </c>
      <c r="P177" s="7">
        <f>YEAR(InputData[[#This Row],[DATE]])</f>
        <v>2022</v>
      </c>
    </row>
    <row r="178" spans="1:16" x14ac:dyDescent="0.25">
      <c r="A178" s="3">
        <v>44230</v>
      </c>
      <c r="B178" s="4" t="s">
        <v>39</v>
      </c>
      <c r="C178" s="5">
        <v>13</v>
      </c>
      <c r="D178" s="5" t="s">
        <v>108</v>
      </c>
      <c r="E178" s="5" t="s">
        <v>106</v>
      </c>
      <c r="F178" s="6">
        <v>0</v>
      </c>
      <c r="G178" s="7" t="str">
        <f>VLOOKUP(InputData[[#This Row],[PRODUCT ID]],MasterData[],2,0)</f>
        <v>Sugar</v>
      </c>
      <c r="H178" s="7" t="str">
        <f>VLOOKUP(InputData[[#This Row],[PRODUCT ID]],MasterData[],3,0)</f>
        <v>Category02</v>
      </c>
      <c r="I178" s="7" t="str">
        <f>VLOOKUP(InputData[[#This Row],[PRODUCT ID]],MasterData[],4,0)</f>
        <v>No.</v>
      </c>
      <c r="J178" s="7">
        <f>VLOOKUP(InputData[[#This Row],[PRODUCT ID]],MasterData[],5,0)</f>
        <v>13</v>
      </c>
      <c r="K178" s="8">
        <f>VLOOKUP(InputData[[#This Row],[PRODUCT ID]],MasterData[],6,0)</f>
        <v>16.64</v>
      </c>
      <c r="L178" s="8">
        <f>InputData[[#This Row],[BUYING PRIZE]]*InputData[[#This Row],[QUANTITY]]</f>
        <v>169</v>
      </c>
      <c r="M178" s="8">
        <f>InputData[[#This Row],[SELLING PRICE]]*InputData[[#This Row],[QUANTITY]]*(1-InputData[[#This Row],[DISCOUNT %]])</f>
        <v>216.32</v>
      </c>
      <c r="N178" s="7">
        <f>DAY(InputData[[#This Row],[DATE]])</f>
        <v>3</v>
      </c>
      <c r="O178" s="7" t="str">
        <f>TEXT(InputData[[#This Row],[DATE]],"MMM")</f>
        <v>Feb</v>
      </c>
      <c r="P178" s="7">
        <f>YEAR(InputData[[#This Row],[DATE]])</f>
        <v>2021</v>
      </c>
    </row>
    <row r="179" spans="1:16" x14ac:dyDescent="0.25">
      <c r="A179" s="3">
        <v>44325</v>
      </c>
      <c r="B179" s="4" t="s">
        <v>39</v>
      </c>
      <c r="C179" s="5">
        <v>6</v>
      </c>
      <c r="D179" s="5" t="s">
        <v>106</v>
      </c>
      <c r="E179" s="5" t="s">
        <v>106</v>
      </c>
      <c r="F179" s="6">
        <v>0</v>
      </c>
      <c r="G179" s="7" t="str">
        <f>VLOOKUP(InputData[[#This Row],[PRODUCT ID]],MasterData[],2,0)</f>
        <v>Sugar</v>
      </c>
      <c r="H179" s="7" t="str">
        <f>VLOOKUP(InputData[[#This Row],[PRODUCT ID]],MasterData[],3,0)</f>
        <v>Category02</v>
      </c>
      <c r="I179" s="7" t="str">
        <f>VLOOKUP(InputData[[#This Row],[PRODUCT ID]],MasterData[],4,0)</f>
        <v>No.</v>
      </c>
      <c r="J179" s="7">
        <f>VLOOKUP(InputData[[#This Row],[PRODUCT ID]],MasterData[],5,0)</f>
        <v>13</v>
      </c>
      <c r="K179" s="8">
        <f>VLOOKUP(InputData[[#This Row],[PRODUCT ID]],MasterData[],6,0)</f>
        <v>16.64</v>
      </c>
      <c r="L179" s="8">
        <f>InputData[[#This Row],[BUYING PRIZE]]*InputData[[#This Row],[QUANTITY]]</f>
        <v>78</v>
      </c>
      <c r="M179" s="8">
        <f>InputData[[#This Row],[SELLING PRICE]]*InputData[[#This Row],[QUANTITY]]*(1-InputData[[#This Row],[DISCOUNT %]])</f>
        <v>99.84</v>
      </c>
      <c r="N179" s="7">
        <f>DAY(InputData[[#This Row],[DATE]])</f>
        <v>9</v>
      </c>
      <c r="O179" s="7" t="str">
        <f>TEXT(InputData[[#This Row],[DATE]],"MMM")</f>
        <v>May</v>
      </c>
      <c r="P179" s="7">
        <f>YEAR(InputData[[#This Row],[DATE]])</f>
        <v>2021</v>
      </c>
    </row>
    <row r="180" spans="1:16" x14ac:dyDescent="0.25">
      <c r="A180" s="3">
        <v>44328</v>
      </c>
      <c r="B180" s="4" t="s">
        <v>39</v>
      </c>
      <c r="C180" s="5">
        <v>3</v>
      </c>
      <c r="D180" s="5" t="s">
        <v>108</v>
      </c>
      <c r="E180" s="5" t="s">
        <v>106</v>
      </c>
      <c r="F180" s="6">
        <v>0</v>
      </c>
      <c r="G180" s="7" t="str">
        <f>VLOOKUP(InputData[[#This Row],[PRODUCT ID]],MasterData[],2,0)</f>
        <v>Sugar</v>
      </c>
      <c r="H180" s="7" t="str">
        <f>VLOOKUP(InputData[[#This Row],[PRODUCT ID]],MasterData[],3,0)</f>
        <v>Category02</v>
      </c>
      <c r="I180" s="7" t="str">
        <f>VLOOKUP(InputData[[#This Row],[PRODUCT ID]],MasterData[],4,0)</f>
        <v>No.</v>
      </c>
      <c r="J180" s="7">
        <f>VLOOKUP(InputData[[#This Row],[PRODUCT ID]],MasterData[],5,0)</f>
        <v>13</v>
      </c>
      <c r="K180" s="8">
        <f>VLOOKUP(InputData[[#This Row],[PRODUCT ID]],MasterData[],6,0)</f>
        <v>16.64</v>
      </c>
      <c r="L180" s="8">
        <f>InputData[[#This Row],[BUYING PRIZE]]*InputData[[#This Row],[QUANTITY]]</f>
        <v>39</v>
      </c>
      <c r="M180" s="8">
        <f>InputData[[#This Row],[SELLING PRICE]]*InputData[[#This Row],[QUANTITY]]*(1-InputData[[#This Row],[DISCOUNT %]])</f>
        <v>49.92</v>
      </c>
      <c r="N180" s="7">
        <f>DAY(InputData[[#This Row],[DATE]])</f>
        <v>12</v>
      </c>
      <c r="O180" s="7" t="str">
        <f>TEXT(InputData[[#This Row],[DATE]],"MMM")</f>
        <v>May</v>
      </c>
      <c r="P180" s="7">
        <f>YEAR(InputData[[#This Row],[DATE]])</f>
        <v>2021</v>
      </c>
    </row>
    <row r="181" spans="1:16" x14ac:dyDescent="0.25">
      <c r="A181" s="3">
        <v>44367</v>
      </c>
      <c r="B181" s="4" t="s">
        <v>39</v>
      </c>
      <c r="C181" s="5">
        <v>1</v>
      </c>
      <c r="D181" s="5" t="s">
        <v>105</v>
      </c>
      <c r="E181" s="5" t="s">
        <v>107</v>
      </c>
      <c r="F181" s="6">
        <v>0</v>
      </c>
      <c r="G181" s="7" t="str">
        <f>VLOOKUP(InputData[[#This Row],[PRODUCT ID]],MasterData[],2,0)</f>
        <v>Sugar</v>
      </c>
      <c r="H181" s="7" t="str">
        <f>VLOOKUP(InputData[[#This Row],[PRODUCT ID]],MasterData[],3,0)</f>
        <v>Category02</v>
      </c>
      <c r="I181" s="7" t="str">
        <f>VLOOKUP(InputData[[#This Row],[PRODUCT ID]],MasterData[],4,0)</f>
        <v>No.</v>
      </c>
      <c r="J181" s="7">
        <f>VLOOKUP(InputData[[#This Row],[PRODUCT ID]],MasterData[],5,0)</f>
        <v>13</v>
      </c>
      <c r="K181" s="8">
        <f>VLOOKUP(InputData[[#This Row],[PRODUCT ID]],MasterData[],6,0)</f>
        <v>16.64</v>
      </c>
      <c r="L181" s="8">
        <f>InputData[[#This Row],[BUYING PRIZE]]*InputData[[#This Row],[QUANTITY]]</f>
        <v>13</v>
      </c>
      <c r="M181" s="8">
        <f>InputData[[#This Row],[SELLING PRICE]]*InputData[[#This Row],[QUANTITY]]*(1-InputData[[#This Row],[DISCOUNT %]])</f>
        <v>16.64</v>
      </c>
      <c r="N181" s="7">
        <f>DAY(InputData[[#This Row],[DATE]])</f>
        <v>20</v>
      </c>
      <c r="O181" s="7" t="str">
        <f>TEXT(InputData[[#This Row],[DATE]],"MMM")</f>
        <v>Jun</v>
      </c>
      <c r="P181" s="7">
        <f>YEAR(InputData[[#This Row],[DATE]])</f>
        <v>2021</v>
      </c>
    </row>
    <row r="182" spans="1:16" x14ac:dyDescent="0.25">
      <c r="A182" s="3">
        <v>44370</v>
      </c>
      <c r="B182" s="4" t="s">
        <v>39</v>
      </c>
      <c r="C182" s="5">
        <v>4</v>
      </c>
      <c r="D182" s="5" t="s">
        <v>108</v>
      </c>
      <c r="E182" s="5" t="s">
        <v>106</v>
      </c>
      <c r="F182" s="6">
        <v>0</v>
      </c>
      <c r="G182" s="7" t="str">
        <f>VLOOKUP(InputData[[#This Row],[PRODUCT ID]],MasterData[],2,0)</f>
        <v>Sugar</v>
      </c>
      <c r="H182" s="7" t="str">
        <f>VLOOKUP(InputData[[#This Row],[PRODUCT ID]],MasterData[],3,0)</f>
        <v>Category02</v>
      </c>
      <c r="I182" s="7" t="str">
        <f>VLOOKUP(InputData[[#This Row],[PRODUCT ID]],MasterData[],4,0)</f>
        <v>No.</v>
      </c>
      <c r="J182" s="7">
        <f>VLOOKUP(InputData[[#This Row],[PRODUCT ID]],MasterData[],5,0)</f>
        <v>13</v>
      </c>
      <c r="K182" s="8">
        <f>VLOOKUP(InputData[[#This Row],[PRODUCT ID]],MasterData[],6,0)</f>
        <v>16.64</v>
      </c>
      <c r="L182" s="8">
        <f>InputData[[#This Row],[BUYING PRIZE]]*InputData[[#This Row],[QUANTITY]]</f>
        <v>52</v>
      </c>
      <c r="M182" s="8">
        <f>InputData[[#This Row],[SELLING PRICE]]*InputData[[#This Row],[QUANTITY]]*(1-InputData[[#This Row],[DISCOUNT %]])</f>
        <v>66.56</v>
      </c>
      <c r="N182" s="7">
        <f>DAY(InputData[[#This Row],[DATE]])</f>
        <v>23</v>
      </c>
      <c r="O182" s="7" t="str">
        <f>TEXT(InputData[[#This Row],[DATE]],"MMM")</f>
        <v>Jun</v>
      </c>
      <c r="P182" s="7">
        <f>YEAR(InputData[[#This Row],[DATE]])</f>
        <v>2021</v>
      </c>
    </row>
    <row r="183" spans="1:16" x14ac:dyDescent="0.25">
      <c r="A183" s="3">
        <v>44532</v>
      </c>
      <c r="B183" s="4" t="s">
        <v>39</v>
      </c>
      <c r="C183" s="5">
        <v>10</v>
      </c>
      <c r="D183" s="5" t="s">
        <v>108</v>
      </c>
      <c r="E183" s="5" t="s">
        <v>107</v>
      </c>
      <c r="F183" s="6">
        <v>0</v>
      </c>
      <c r="G183" s="7" t="str">
        <f>VLOOKUP(InputData[[#This Row],[PRODUCT ID]],MasterData[],2,0)</f>
        <v>Sugar</v>
      </c>
      <c r="H183" s="7" t="str">
        <f>VLOOKUP(InputData[[#This Row],[PRODUCT ID]],MasterData[],3,0)</f>
        <v>Category02</v>
      </c>
      <c r="I183" s="7" t="str">
        <f>VLOOKUP(InputData[[#This Row],[PRODUCT ID]],MasterData[],4,0)</f>
        <v>No.</v>
      </c>
      <c r="J183" s="7">
        <f>VLOOKUP(InputData[[#This Row],[PRODUCT ID]],MasterData[],5,0)</f>
        <v>13</v>
      </c>
      <c r="K183" s="8">
        <f>VLOOKUP(InputData[[#This Row],[PRODUCT ID]],MasterData[],6,0)</f>
        <v>16.64</v>
      </c>
      <c r="L183" s="8">
        <f>InputData[[#This Row],[BUYING PRIZE]]*InputData[[#This Row],[QUANTITY]]</f>
        <v>130</v>
      </c>
      <c r="M183" s="8">
        <f>InputData[[#This Row],[SELLING PRICE]]*InputData[[#This Row],[QUANTITY]]*(1-InputData[[#This Row],[DISCOUNT %]])</f>
        <v>166.4</v>
      </c>
      <c r="N183" s="7">
        <f>DAY(InputData[[#This Row],[DATE]])</f>
        <v>2</v>
      </c>
      <c r="O183" s="7" t="str">
        <f>TEXT(InputData[[#This Row],[DATE]],"MMM")</f>
        <v>Dec</v>
      </c>
      <c r="P183" s="7">
        <f>YEAR(InputData[[#This Row],[DATE]])</f>
        <v>2021</v>
      </c>
    </row>
    <row r="184" spans="1:16" x14ac:dyDescent="0.25">
      <c r="A184" s="3">
        <v>44589</v>
      </c>
      <c r="B184" s="4" t="s">
        <v>39</v>
      </c>
      <c r="C184" s="5">
        <v>11</v>
      </c>
      <c r="D184" s="5" t="s">
        <v>108</v>
      </c>
      <c r="E184" s="5" t="s">
        <v>106</v>
      </c>
      <c r="F184" s="6">
        <v>0</v>
      </c>
      <c r="G184" s="7" t="str">
        <f>VLOOKUP(InputData[[#This Row],[PRODUCT ID]],MasterData[],2,0)</f>
        <v>Sugar</v>
      </c>
      <c r="H184" s="7" t="str">
        <f>VLOOKUP(InputData[[#This Row],[PRODUCT ID]],MasterData[],3,0)</f>
        <v>Category02</v>
      </c>
      <c r="I184" s="7" t="str">
        <f>VLOOKUP(InputData[[#This Row],[PRODUCT ID]],MasterData[],4,0)</f>
        <v>No.</v>
      </c>
      <c r="J184" s="7">
        <f>VLOOKUP(InputData[[#This Row],[PRODUCT ID]],MasterData[],5,0)</f>
        <v>13</v>
      </c>
      <c r="K184" s="8">
        <f>VLOOKUP(InputData[[#This Row],[PRODUCT ID]],MasterData[],6,0)</f>
        <v>16.64</v>
      </c>
      <c r="L184" s="8">
        <f>InputData[[#This Row],[BUYING PRIZE]]*InputData[[#This Row],[QUANTITY]]</f>
        <v>143</v>
      </c>
      <c r="M184" s="8">
        <f>InputData[[#This Row],[SELLING PRICE]]*InputData[[#This Row],[QUANTITY]]*(1-InputData[[#This Row],[DISCOUNT %]])</f>
        <v>183.04000000000002</v>
      </c>
      <c r="N184" s="7">
        <f>DAY(InputData[[#This Row],[DATE]])</f>
        <v>28</v>
      </c>
      <c r="O184" s="7" t="str">
        <f>TEXT(InputData[[#This Row],[DATE]],"MMM")</f>
        <v>Jan</v>
      </c>
      <c r="P184" s="7">
        <f>YEAR(InputData[[#This Row],[DATE]])</f>
        <v>2022</v>
      </c>
    </row>
    <row r="185" spans="1:16" x14ac:dyDescent="0.25">
      <c r="A185" s="3">
        <v>44615</v>
      </c>
      <c r="B185" s="4" t="s">
        <v>39</v>
      </c>
      <c r="C185" s="5">
        <v>15</v>
      </c>
      <c r="D185" s="5" t="s">
        <v>106</v>
      </c>
      <c r="E185" s="5" t="s">
        <v>107</v>
      </c>
      <c r="F185" s="6">
        <v>0</v>
      </c>
      <c r="G185" s="7" t="str">
        <f>VLOOKUP(InputData[[#This Row],[PRODUCT ID]],MasterData[],2,0)</f>
        <v>Sugar</v>
      </c>
      <c r="H185" s="7" t="str">
        <f>VLOOKUP(InputData[[#This Row],[PRODUCT ID]],MasterData[],3,0)</f>
        <v>Category02</v>
      </c>
      <c r="I185" s="7" t="str">
        <f>VLOOKUP(InputData[[#This Row],[PRODUCT ID]],MasterData[],4,0)</f>
        <v>No.</v>
      </c>
      <c r="J185" s="7">
        <f>VLOOKUP(InputData[[#This Row],[PRODUCT ID]],MasterData[],5,0)</f>
        <v>13</v>
      </c>
      <c r="K185" s="8">
        <f>VLOOKUP(InputData[[#This Row],[PRODUCT ID]],MasterData[],6,0)</f>
        <v>16.64</v>
      </c>
      <c r="L185" s="8">
        <f>InputData[[#This Row],[BUYING PRIZE]]*InputData[[#This Row],[QUANTITY]]</f>
        <v>195</v>
      </c>
      <c r="M185" s="8">
        <f>InputData[[#This Row],[SELLING PRICE]]*InputData[[#This Row],[QUANTITY]]*(1-InputData[[#This Row],[DISCOUNT %]])</f>
        <v>249.60000000000002</v>
      </c>
      <c r="N185" s="7">
        <f>DAY(InputData[[#This Row],[DATE]])</f>
        <v>23</v>
      </c>
      <c r="O185" s="7" t="str">
        <f>TEXT(InputData[[#This Row],[DATE]],"MMM")</f>
        <v>Feb</v>
      </c>
      <c r="P185" s="7">
        <f>YEAR(InputData[[#This Row],[DATE]])</f>
        <v>2022</v>
      </c>
    </row>
    <row r="186" spans="1:16" x14ac:dyDescent="0.25">
      <c r="A186" s="3">
        <v>44634</v>
      </c>
      <c r="B186" s="4" t="s">
        <v>39</v>
      </c>
      <c r="C186" s="5">
        <v>2</v>
      </c>
      <c r="D186" s="5" t="s">
        <v>108</v>
      </c>
      <c r="E186" s="5" t="s">
        <v>107</v>
      </c>
      <c r="F186" s="6">
        <v>0</v>
      </c>
      <c r="G186" s="7" t="str">
        <f>VLOOKUP(InputData[[#This Row],[PRODUCT ID]],MasterData[],2,0)</f>
        <v>Sugar</v>
      </c>
      <c r="H186" s="7" t="str">
        <f>VLOOKUP(InputData[[#This Row],[PRODUCT ID]],MasterData[],3,0)</f>
        <v>Category02</v>
      </c>
      <c r="I186" s="7" t="str">
        <f>VLOOKUP(InputData[[#This Row],[PRODUCT ID]],MasterData[],4,0)</f>
        <v>No.</v>
      </c>
      <c r="J186" s="7">
        <f>VLOOKUP(InputData[[#This Row],[PRODUCT ID]],MasterData[],5,0)</f>
        <v>13</v>
      </c>
      <c r="K186" s="8">
        <f>VLOOKUP(InputData[[#This Row],[PRODUCT ID]],MasterData[],6,0)</f>
        <v>16.64</v>
      </c>
      <c r="L186" s="8">
        <f>InputData[[#This Row],[BUYING PRIZE]]*InputData[[#This Row],[QUANTITY]]</f>
        <v>26</v>
      </c>
      <c r="M186" s="8">
        <f>InputData[[#This Row],[SELLING PRICE]]*InputData[[#This Row],[QUANTITY]]*(1-InputData[[#This Row],[DISCOUNT %]])</f>
        <v>33.28</v>
      </c>
      <c r="N186" s="7">
        <f>DAY(InputData[[#This Row],[DATE]])</f>
        <v>14</v>
      </c>
      <c r="O186" s="7" t="str">
        <f>TEXT(InputData[[#This Row],[DATE]],"MMM")</f>
        <v>Mar</v>
      </c>
      <c r="P186" s="7">
        <f>YEAR(InputData[[#This Row],[DATE]])</f>
        <v>2022</v>
      </c>
    </row>
    <row r="187" spans="1:16" x14ac:dyDescent="0.25">
      <c r="A187" s="3">
        <v>44664</v>
      </c>
      <c r="B187" s="4" t="s">
        <v>39</v>
      </c>
      <c r="C187" s="5">
        <v>14</v>
      </c>
      <c r="D187" s="5" t="s">
        <v>105</v>
      </c>
      <c r="E187" s="5" t="s">
        <v>106</v>
      </c>
      <c r="F187" s="6">
        <v>0</v>
      </c>
      <c r="G187" s="7" t="str">
        <f>VLOOKUP(InputData[[#This Row],[PRODUCT ID]],MasterData[],2,0)</f>
        <v>Sugar</v>
      </c>
      <c r="H187" s="7" t="str">
        <f>VLOOKUP(InputData[[#This Row],[PRODUCT ID]],MasterData[],3,0)</f>
        <v>Category02</v>
      </c>
      <c r="I187" s="7" t="str">
        <f>VLOOKUP(InputData[[#This Row],[PRODUCT ID]],MasterData[],4,0)</f>
        <v>No.</v>
      </c>
      <c r="J187" s="7">
        <f>VLOOKUP(InputData[[#This Row],[PRODUCT ID]],MasterData[],5,0)</f>
        <v>13</v>
      </c>
      <c r="K187" s="8">
        <f>VLOOKUP(InputData[[#This Row],[PRODUCT ID]],MasterData[],6,0)</f>
        <v>16.64</v>
      </c>
      <c r="L187" s="8">
        <f>InputData[[#This Row],[BUYING PRIZE]]*InputData[[#This Row],[QUANTITY]]</f>
        <v>182</v>
      </c>
      <c r="M187" s="8">
        <f>InputData[[#This Row],[SELLING PRICE]]*InputData[[#This Row],[QUANTITY]]*(1-InputData[[#This Row],[DISCOUNT %]])</f>
        <v>232.96</v>
      </c>
      <c r="N187" s="7">
        <f>DAY(InputData[[#This Row],[DATE]])</f>
        <v>13</v>
      </c>
      <c r="O187" s="7" t="str">
        <f>TEXT(InputData[[#This Row],[DATE]],"MMM")</f>
        <v>Apr</v>
      </c>
      <c r="P187" s="7">
        <f>YEAR(InputData[[#This Row],[DATE]])</f>
        <v>2022</v>
      </c>
    </row>
    <row r="188" spans="1:16" x14ac:dyDescent="0.25">
      <c r="A188" s="3">
        <v>44681</v>
      </c>
      <c r="B188" s="4" t="s">
        <v>39</v>
      </c>
      <c r="C188" s="5">
        <v>13</v>
      </c>
      <c r="D188" s="5" t="s">
        <v>106</v>
      </c>
      <c r="E188" s="5" t="s">
        <v>106</v>
      </c>
      <c r="F188" s="6">
        <v>0</v>
      </c>
      <c r="G188" s="7" t="str">
        <f>VLOOKUP(InputData[[#This Row],[PRODUCT ID]],MasterData[],2,0)</f>
        <v>Sugar</v>
      </c>
      <c r="H188" s="7" t="str">
        <f>VLOOKUP(InputData[[#This Row],[PRODUCT ID]],MasterData[],3,0)</f>
        <v>Category02</v>
      </c>
      <c r="I188" s="7" t="str">
        <f>VLOOKUP(InputData[[#This Row],[PRODUCT ID]],MasterData[],4,0)</f>
        <v>No.</v>
      </c>
      <c r="J188" s="7">
        <f>VLOOKUP(InputData[[#This Row],[PRODUCT ID]],MasterData[],5,0)</f>
        <v>13</v>
      </c>
      <c r="K188" s="8">
        <f>VLOOKUP(InputData[[#This Row],[PRODUCT ID]],MasterData[],6,0)</f>
        <v>16.64</v>
      </c>
      <c r="L188" s="8">
        <f>InputData[[#This Row],[BUYING PRIZE]]*InputData[[#This Row],[QUANTITY]]</f>
        <v>169</v>
      </c>
      <c r="M188" s="8">
        <f>InputData[[#This Row],[SELLING PRICE]]*InputData[[#This Row],[QUANTITY]]*(1-InputData[[#This Row],[DISCOUNT %]])</f>
        <v>216.32</v>
      </c>
      <c r="N188" s="7">
        <f>DAY(InputData[[#This Row],[DATE]])</f>
        <v>30</v>
      </c>
      <c r="O188" s="7" t="str">
        <f>TEXT(InputData[[#This Row],[DATE]],"MMM")</f>
        <v>Apr</v>
      </c>
      <c r="P188" s="7">
        <f>YEAR(InputData[[#This Row],[DATE]])</f>
        <v>2022</v>
      </c>
    </row>
    <row r="189" spans="1:16" x14ac:dyDescent="0.25">
      <c r="A189" s="3">
        <v>44779</v>
      </c>
      <c r="B189" s="4" t="s">
        <v>39</v>
      </c>
      <c r="C189" s="5">
        <v>9</v>
      </c>
      <c r="D189" s="5" t="s">
        <v>106</v>
      </c>
      <c r="E189" s="5" t="s">
        <v>106</v>
      </c>
      <c r="F189" s="6">
        <v>0</v>
      </c>
      <c r="G189" s="7" t="str">
        <f>VLOOKUP(InputData[[#This Row],[PRODUCT ID]],MasterData[],2,0)</f>
        <v>Sugar</v>
      </c>
      <c r="H189" s="7" t="str">
        <f>VLOOKUP(InputData[[#This Row],[PRODUCT ID]],MasterData[],3,0)</f>
        <v>Category02</v>
      </c>
      <c r="I189" s="7" t="str">
        <f>VLOOKUP(InputData[[#This Row],[PRODUCT ID]],MasterData[],4,0)</f>
        <v>No.</v>
      </c>
      <c r="J189" s="7">
        <f>VLOOKUP(InputData[[#This Row],[PRODUCT ID]],MasterData[],5,0)</f>
        <v>13</v>
      </c>
      <c r="K189" s="8">
        <f>VLOOKUP(InputData[[#This Row],[PRODUCT ID]],MasterData[],6,0)</f>
        <v>16.64</v>
      </c>
      <c r="L189" s="8">
        <f>InputData[[#This Row],[BUYING PRIZE]]*InputData[[#This Row],[QUANTITY]]</f>
        <v>117</v>
      </c>
      <c r="M189" s="8">
        <f>InputData[[#This Row],[SELLING PRICE]]*InputData[[#This Row],[QUANTITY]]*(1-InputData[[#This Row],[DISCOUNT %]])</f>
        <v>149.76</v>
      </c>
      <c r="N189" s="7">
        <f>DAY(InputData[[#This Row],[DATE]])</f>
        <v>6</v>
      </c>
      <c r="O189" s="7" t="str">
        <f>TEXT(InputData[[#This Row],[DATE]],"MMM")</f>
        <v>Aug</v>
      </c>
      <c r="P189" s="7">
        <f>YEAR(InputData[[#This Row],[DATE]])</f>
        <v>2022</v>
      </c>
    </row>
    <row r="190" spans="1:16" x14ac:dyDescent="0.25">
      <c r="A190" s="3">
        <v>44781</v>
      </c>
      <c r="B190" s="4" t="s">
        <v>39</v>
      </c>
      <c r="C190" s="5">
        <v>2</v>
      </c>
      <c r="D190" s="5" t="s">
        <v>108</v>
      </c>
      <c r="E190" s="5" t="s">
        <v>106</v>
      </c>
      <c r="F190" s="6">
        <v>0</v>
      </c>
      <c r="G190" s="7" t="str">
        <f>VLOOKUP(InputData[[#This Row],[PRODUCT ID]],MasterData[],2,0)</f>
        <v>Sugar</v>
      </c>
      <c r="H190" s="7" t="str">
        <f>VLOOKUP(InputData[[#This Row],[PRODUCT ID]],MasterData[],3,0)</f>
        <v>Category02</v>
      </c>
      <c r="I190" s="7" t="str">
        <f>VLOOKUP(InputData[[#This Row],[PRODUCT ID]],MasterData[],4,0)</f>
        <v>No.</v>
      </c>
      <c r="J190" s="7">
        <f>VLOOKUP(InputData[[#This Row],[PRODUCT ID]],MasterData[],5,0)</f>
        <v>13</v>
      </c>
      <c r="K190" s="8">
        <f>VLOOKUP(InputData[[#This Row],[PRODUCT ID]],MasterData[],6,0)</f>
        <v>16.64</v>
      </c>
      <c r="L190" s="8">
        <f>InputData[[#This Row],[BUYING PRIZE]]*InputData[[#This Row],[QUANTITY]]</f>
        <v>26</v>
      </c>
      <c r="M190" s="8">
        <f>InputData[[#This Row],[SELLING PRICE]]*InputData[[#This Row],[QUANTITY]]*(1-InputData[[#This Row],[DISCOUNT %]])</f>
        <v>33.28</v>
      </c>
      <c r="N190" s="7">
        <f>DAY(InputData[[#This Row],[DATE]])</f>
        <v>8</v>
      </c>
      <c r="O190" s="7" t="str">
        <f>TEXT(InputData[[#This Row],[DATE]],"MMM")</f>
        <v>Aug</v>
      </c>
      <c r="P190" s="7">
        <f>YEAR(InputData[[#This Row],[DATE]])</f>
        <v>2022</v>
      </c>
    </row>
    <row r="191" spans="1:16" x14ac:dyDescent="0.25">
      <c r="A191" s="3">
        <v>44794</v>
      </c>
      <c r="B191" s="4" t="s">
        <v>39</v>
      </c>
      <c r="C191" s="5">
        <v>4</v>
      </c>
      <c r="D191" s="5" t="s">
        <v>108</v>
      </c>
      <c r="E191" s="5" t="s">
        <v>106</v>
      </c>
      <c r="F191" s="6">
        <v>0</v>
      </c>
      <c r="G191" s="7" t="str">
        <f>VLOOKUP(InputData[[#This Row],[PRODUCT ID]],MasterData[],2,0)</f>
        <v>Sugar</v>
      </c>
      <c r="H191" s="7" t="str">
        <f>VLOOKUP(InputData[[#This Row],[PRODUCT ID]],MasterData[],3,0)</f>
        <v>Category02</v>
      </c>
      <c r="I191" s="7" t="str">
        <f>VLOOKUP(InputData[[#This Row],[PRODUCT ID]],MasterData[],4,0)</f>
        <v>No.</v>
      </c>
      <c r="J191" s="7">
        <f>VLOOKUP(InputData[[#This Row],[PRODUCT ID]],MasterData[],5,0)</f>
        <v>13</v>
      </c>
      <c r="K191" s="8">
        <f>VLOOKUP(InputData[[#This Row],[PRODUCT ID]],MasterData[],6,0)</f>
        <v>16.64</v>
      </c>
      <c r="L191" s="8">
        <f>InputData[[#This Row],[BUYING PRIZE]]*InputData[[#This Row],[QUANTITY]]</f>
        <v>52</v>
      </c>
      <c r="M191" s="8">
        <f>InputData[[#This Row],[SELLING PRICE]]*InputData[[#This Row],[QUANTITY]]*(1-InputData[[#This Row],[DISCOUNT %]])</f>
        <v>66.56</v>
      </c>
      <c r="N191" s="7">
        <f>DAY(InputData[[#This Row],[DATE]])</f>
        <v>21</v>
      </c>
      <c r="O191" s="7" t="str">
        <f>TEXT(InputData[[#This Row],[DATE]],"MMM")</f>
        <v>Aug</v>
      </c>
      <c r="P191" s="7">
        <f>YEAR(InputData[[#This Row],[DATE]])</f>
        <v>2022</v>
      </c>
    </row>
    <row r="192" spans="1:16" x14ac:dyDescent="0.25">
      <c r="A192" s="3">
        <v>44902</v>
      </c>
      <c r="B192" s="4" t="s">
        <v>39</v>
      </c>
      <c r="C192" s="5">
        <v>13</v>
      </c>
      <c r="D192" s="5" t="s">
        <v>108</v>
      </c>
      <c r="E192" s="5" t="s">
        <v>106</v>
      </c>
      <c r="F192" s="6">
        <v>0</v>
      </c>
      <c r="G192" s="7" t="str">
        <f>VLOOKUP(InputData[[#This Row],[PRODUCT ID]],MasterData[],2,0)</f>
        <v>Sugar</v>
      </c>
      <c r="H192" s="7" t="str">
        <f>VLOOKUP(InputData[[#This Row],[PRODUCT ID]],MasterData[],3,0)</f>
        <v>Category02</v>
      </c>
      <c r="I192" s="7" t="str">
        <f>VLOOKUP(InputData[[#This Row],[PRODUCT ID]],MasterData[],4,0)</f>
        <v>No.</v>
      </c>
      <c r="J192" s="7">
        <f>VLOOKUP(InputData[[#This Row],[PRODUCT ID]],MasterData[],5,0)</f>
        <v>13</v>
      </c>
      <c r="K192" s="8">
        <f>VLOOKUP(InputData[[#This Row],[PRODUCT ID]],MasterData[],6,0)</f>
        <v>16.64</v>
      </c>
      <c r="L192" s="8">
        <f>InputData[[#This Row],[BUYING PRIZE]]*InputData[[#This Row],[QUANTITY]]</f>
        <v>169</v>
      </c>
      <c r="M192" s="8">
        <f>InputData[[#This Row],[SELLING PRICE]]*InputData[[#This Row],[QUANTITY]]*(1-InputData[[#This Row],[DISCOUNT %]])</f>
        <v>216.32</v>
      </c>
      <c r="N192" s="7">
        <f>DAY(InputData[[#This Row],[DATE]])</f>
        <v>7</v>
      </c>
      <c r="O192" s="7" t="str">
        <f>TEXT(InputData[[#This Row],[DATE]],"MMM")</f>
        <v>Dec</v>
      </c>
      <c r="P192" s="7">
        <f>YEAR(InputData[[#This Row],[DATE]])</f>
        <v>2022</v>
      </c>
    </row>
    <row r="193" spans="1:16" x14ac:dyDescent="0.25">
      <c r="A193" s="3">
        <v>44301</v>
      </c>
      <c r="B193" s="4" t="s">
        <v>41</v>
      </c>
      <c r="C193" s="5">
        <v>3</v>
      </c>
      <c r="D193" s="5" t="s">
        <v>108</v>
      </c>
      <c r="E193" s="5" t="s">
        <v>106</v>
      </c>
      <c r="F193" s="6">
        <v>0</v>
      </c>
      <c r="G193" s="7" t="str">
        <f>VLOOKUP(InputData[[#This Row],[PRODUCT ID]],MasterData[],2,0)</f>
        <v>Peanut Butter</v>
      </c>
      <c r="H193" s="7" t="str">
        <f>VLOOKUP(InputData[[#This Row],[PRODUCT ID]],MasterData[],3,0)</f>
        <v>Category02</v>
      </c>
      <c r="I193" s="7" t="str">
        <f>VLOOKUP(InputData[[#This Row],[PRODUCT ID]],MasterData[],4,0)</f>
        <v>Ft</v>
      </c>
      <c r="J193" s="7">
        <f>VLOOKUP(InputData[[#This Row],[PRODUCT ID]],MasterData[],5,0)</f>
        <v>134</v>
      </c>
      <c r="K193" s="8">
        <f>VLOOKUP(InputData[[#This Row],[PRODUCT ID]],MasterData[],6,0)</f>
        <v>156.78</v>
      </c>
      <c r="L193" s="8">
        <f>InputData[[#This Row],[BUYING PRIZE]]*InputData[[#This Row],[QUANTITY]]</f>
        <v>402</v>
      </c>
      <c r="M193" s="8">
        <f>InputData[[#This Row],[SELLING PRICE]]*InputData[[#This Row],[QUANTITY]]*(1-InputData[[#This Row],[DISCOUNT %]])</f>
        <v>470.34000000000003</v>
      </c>
      <c r="N193" s="7">
        <f>DAY(InputData[[#This Row],[DATE]])</f>
        <v>15</v>
      </c>
      <c r="O193" s="7" t="str">
        <f>TEXT(InputData[[#This Row],[DATE]],"MMM")</f>
        <v>Apr</v>
      </c>
      <c r="P193" s="7">
        <f>YEAR(InputData[[#This Row],[DATE]])</f>
        <v>2021</v>
      </c>
    </row>
    <row r="194" spans="1:16" x14ac:dyDescent="0.25">
      <c r="A194" s="3">
        <v>44586</v>
      </c>
      <c r="B194" s="4" t="s">
        <v>41</v>
      </c>
      <c r="C194" s="5">
        <v>14</v>
      </c>
      <c r="D194" s="5" t="s">
        <v>108</v>
      </c>
      <c r="E194" s="5" t="s">
        <v>107</v>
      </c>
      <c r="F194" s="6">
        <v>0</v>
      </c>
      <c r="G194" s="7" t="str">
        <f>VLOOKUP(InputData[[#This Row],[PRODUCT ID]],MasterData[],2,0)</f>
        <v>Peanut Butter</v>
      </c>
      <c r="H194" s="7" t="str">
        <f>VLOOKUP(InputData[[#This Row],[PRODUCT ID]],MasterData[],3,0)</f>
        <v>Category02</v>
      </c>
      <c r="I194" s="7" t="str">
        <f>VLOOKUP(InputData[[#This Row],[PRODUCT ID]],MasterData[],4,0)</f>
        <v>Ft</v>
      </c>
      <c r="J194" s="7">
        <f>VLOOKUP(InputData[[#This Row],[PRODUCT ID]],MasterData[],5,0)</f>
        <v>134</v>
      </c>
      <c r="K194" s="8">
        <f>VLOOKUP(InputData[[#This Row],[PRODUCT ID]],MasterData[],6,0)</f>
        <v>156.78</v>
      </c>
      <c r="L194" s="8">
        <f>InputData[[#This Row],[BUYING PRIZE]]*InputData[[#This Row],[QUANTITY]]</f>
        <v>1876</v>
      </c>
      <c r="M194" s="8">
        <f>InputData[[#This Row],[SELLING PRICE]]*InputData[[#This Row],[QUANTITY]]*(1-InputData[[#This Row],[DISCOUNT %]])</f>
        <v>2194.92</v>
      </c>
      <c r="N194" s="7">
        <f>DAY(InputData[[#This Row],[DATE]])</f>
        <v>25</v>
      </c>
      <c r="O194" s="7" t="str">
        <f>TEXT(InputData[[#This Row],[DATE]],"MMM")</f>
        <v>Jan</v>
      </c>
      <c r="P194" s="7">
        <f>YEAR(InputData[[#This Row],[DATE]])</f>
        <v>2022</v>
      </c>
    </row>
    <row r="195" spans="1:16" x14ac:dyDescent="0.25">
      <c r="A195" s="3">
        <v>44690</v>
      </c>
      <c r="B195" s="4" t="s">
        <v>41</v>
      </c>
      <c r="C195" s="5">
        <v>12</v>
      </c>
      <c r="D195" s="5" t="s">
        <v>105</v>
      </c>
      <c r="E195" s="5" t="s">
        <v>107</v>
      </c>
      <c r="F195" s="6">
        <v>0</v>
      </c>
      <c r="G195" s="7" t="str">
        <f>VLOOKUP(InputData[[#This Row],[PRODUCT ID]],MasterData[],2,0)</f>
        <v>Peanut Butter</v>
      </c>
      <c r="H195" s="7" t="str">
        <f>VLOOKUP(InputData[[#This Row],[PRODUCT ID]],MasterData[],3,0)</f>
        <v>Category02</v>
      </c>
      <c r="I195" s="7" t="str">
        <f>VLOOKUP(InputData[[#This Row],[PRODUCT ID]],MasterData[],4,0)</f>
        <v>Ft</v>
      </c>
      <c r="J195" s="7">
        <f>VLOOKUP(InputData[[#This Row],[PRODUCT ID]],MasterData[],5,0)</f>
        <v>134</v>
      </c>
      <c r="K195" s="8">
        <f>VLOOKUP(InputData[[#This Row],[PRODUCT ID]],MasterData[],6,0)</f>
        <v>156.78</v>
      </c>
      <c r="L195" s="8">
        <f>InputData[[#This Row],[BUYING PRIZE]]*InputData[[#This Row],[QUANTITY]]</f>
        <v>1608</v>
      </c>
      <c r="M195" s="8">
        <f>InputData[[#This Row],[SELLING PRICE]]*InputData[[#This Row],[QUANTITY]]*(1-InputData[[#This Row],[DISCOUNT %]])</f>
        <v>1881.3600000000001</v>
      </c>
      <c r="N195" s="7">
        <f>DAY(InputData[[#This Row],[DATE]])</f>
        <v>9</v>
      </c>
      <c r="O195" s="7" t="str">
        <f>TEXT(InputData[[#This Row],[DATE]],"MMM")</f>
        <v>May</v>
      </c>
      <c r="P195" s="7">
        <f>YEAR(InputData[[#This Row],[DATE]])</f>
        <v>2022</v>
      </c>
    </row>
    <row r="196" spans="1:16" x14ac:dyDescent="0.25">
      <c r="A196" s="3">
        <v>44733</v>
      </c>
      <c r="B196" s="4" t="s">
        <v>41</v>
      </c>
      <c r="C196" s="5">
        <v>14</v>
      </c>
      <c r="D196" s="5" t="s">
        <v>108</v>
      </c>
      <c r="E196" s="5" t="s">
        <v>107</v>
      </c>
      <c r="F196" s="6">
        <v>0</v>
      </c>
      <c r="G196" s="7" t="str">
        <f>VLOOKUP(InputData[[#This Row],[PRODUCT ID]],MasterData[],2,0)</f>
        <v>Peanut Butter</v>
      </c>
      <c r="H196" s="7" t="str">
        <f>VLOOKUP(InputData[[#This Row],[PRODUCT ID]],MasterData[],3,0)</f>
        <v>Category02</v>
      </c>
      <c r="I196" s="7" t="str">
        <f>VLOOKUP(InputData[[#This Row],[PRODUCT ID]],MasterData[],4,0)</f>
        <v>Ft</v>
      </c>
      <c r="J196" s="7">
        <f>VLOOKUP(InputData[[#This Row],[PRODUCT ID]],MasterData[],5,0)</f>
        <v>134</v>
      </c>
      <c r="K196" s="8">
        <f>VLOOKUP(InputData[[#This Row],[PRODUCT ID]],MasterData[],6,0)</f>
        <v>156.78</v>
      </c>
      <c r="L196" s="8">
        <f>InputData[[#This Row],[BUYING PRIZE]]*InputData[[#This Row],[QUANTITY]]</f>
        <v>1876</v>
      </c>
      <c r="M196" s="8">
        <f>InputData[[#This Row],[SELLING PRICE]]*InputData[[#This Row],[QUANTITY]]*(1-InputData[[#This Row],[DISCOUNT %]])</f>
        <v>2194.92</v>
      </c>
      <c r="N196" s="7">
        <f>DAY(InputData[[#This Row],[DATE]])</f>
        <v>21</v>
      </c>
      <c r="O196" s="7" t="str">
        <f>TEXT(InputData[[#This Row],[DATE]],"MMM")</f>
        <v>Jun</v>
      </c>
      <c r="P196" s="7">
        <f>YEAR(InputData[[#This Row],[DATE]])</f>
        <v>2022</v>
      </c>
    </row>
    <row r="197" spans="1:16" x14ac:dyDescent="0.25">
      <c r="A197" s="3">
        <v>44767</v>
      </c>
      <c r="B197" s="4" t="s">
        <v>41</v>
      </c>
      <c r="C197" s="5">
        <v>12</v>
      </c>
      <c r="D197" s="5" t="s">
        <v>108</v>
      </c>
      <c r="E197" s="5" t="s">
        <v>107</v>
      </c>
      <c r="F197" s="6">
        <v>0</v>
      </c>
      <c r="G197" s="7" t="str">
        <f>VLOOKUP(InputData[[#This Row],[PRODUCT ID]],MasterData[],2,0)</f>
        <v>Peanut Butter</v>
      </c>
      <c r="H197" s="7" t="str">
        <f>VLOOKUP(InputData[[#This Row],[PRODUCT ID]],MasterData[],3,0)</f>
        <v>Category02</v>
      </c>
      <c r="I197" s="7" t="str">
        <f>VLOOKUP(InputData[[#This Row],[PRODUCT ID]],MasterData[],4,0)</f>
        <v>Ft</v>
      </c>
      <c r="J197" s="7">
        <f>VLOOKUP(InputData[[#This Row],[PRODUCT ID]],MasterData[],5,0)</f>
        <v>134</v>
      </c>
      <c r="K197" s="8">
        <f>VLOOKUP(InputData[[#This Row],[PRODUCT ID]],MasterData[],6,0)</f>
        <v>156.78</v>
      </c>
      <c r="L197" s="8">
        <f>InputData[[#This Row],[BUYING PRIZE]]*InputData[[#This Row],[QUANTITY]]</f>
        <v>1608</v>
      </c>
      <c r="M197" s="8">
        <f>InputData[[#This Row],[SELLING PRICE]]*InputData[[#This Row],[QUANTITY]]*(1-InputData[[#This Row],[DISCOUNT %]])</f>
        <v>1881.3600000000001</v>
      </c>
      <c r="N197" s="7">
        <f>DAY(InputData[[#This Row],[DATE]])</f>
        <v>25</v>
      </c>
      <c r="O197" s="7" t="str">
        <f>TEXT(InputData[[#This Row],[DATE]],"MMM")</f>
        <v>Jul</v>
      </c>
      <c r="P197" s="7">
        <f>YEAR(InputData[[#This Row],[DATE]])</f>
        <v>2022</v>
      </c>
    </row>
    <row r="198" spans="1:16" x14ac:dyDescent="0.25">
      <c r="A198" s="3">
        <v>44881</v>
      </c>
      <c r="B198" s="4" t="s">
        <v>41</v>
      </c>
      <c r="C198" s="5">
        <v>8</v>
      </c>
      <c r="D198" s="5" t="s">
        <v>106</v>
      </c>
      <c r="E198" s="5" t="s">
        <v>106</v>
      </c>
      <c r="F198" s="6">
        <v>0</v>
      </c>
      <c r="G198" s="7" t="str">
        <f>VLOOKUP(InputData[[#This Row],[PRODUCT ID]],MasterData[],2,0)</f>
        <v>Peanut Butter</v>
      </c>
      <c r="H198" s="7" t="str">
        <f>VLOOKUP(InputData[[#This Row],[PRODUCT ID]],MasterData[],3,0)</f>
        <v>Category02</v>
      </c>
      <c r="I198" s="7" t="str">
        <f>VLOOKUP(InputData[[#This Row],[PRODUCT ID]],MasterData[],4,0)</f>
        <v>Ft</v>
      </c>
      <c r="J198" s="7">
        <f>VLOOKUP(InputData[[#This Row],[PRODUCT ID]],MasterData[],5,0)</f>
        <v>134</v>
      </c>
      <c r="K198" s="8">
        <f>VLOOKUP(InputData[[#This Row],[PRODUCT ID]],MasterData[],6,0)</f>
        <v>156.78</v>
      </c>
      <c r="L198" s="8">
        <f>InputData[[#This Row],[BUYING PRIZE]]*InputData[[#This Row],[QUANTITY]]</f>
        <v>1072</v>
      </c>
      <c r="M198" s="8">
        <f>InputData[[#This Row],[SELLING PRICE]]*InputData[[#This Row],[QUANTITY]]*(1-InputData[[#This Row],[DISCOUNT %]])</f>
        <v>1254.24</v>
      </c>
      <c r="N198" s="7">
        <f>DAY(InputData[[#This Row],[DATE]])</f>
        <v>16</v>
      </c>
      <c r="O198" s="7" t="str">
        <f>TEXT(InputData[[#This Row],[DATE]],"MMM")</f>
        <v>Nov</v>
      </c>
      <c r="P198" s="7">
        <f>YEAR(InputData[[#This Row],[DATE]])</f>
        <v>2022</v>
      </c>
    </row>
    <row r="199" spans="1:16" x14ac:dyDescent="0.25">
      <c r="A199" s="3">
        <v>44254</v>
      </c>
      <c r="B199" s="4" t="s">
        <v>43</v>
      </c>
      <c r="C199" s="5">
        <v>11</v>
      </c>
      <c r="D199" s="5" t="s">
        <v>105</v>
      </c>
      <c r="E199" s="5" t="s">
        <v>106</v>
      </c>
      <c r="F199" s="6">
        <v>0</v>
      </c>
      <c r="G199" s="7" t="str">
        <f>VLOOKUP(InputData[[#This Row],[PRODUCT ID]],MasterData[],2,0)</f>
        <v>Note Book</v>
      </c>
      <c r="H199" s="7" t="str">
        <f>VLOOKUP(InputData[[#This Row],[PRODUCT ID]],MasterData[],3,0)</f>
        <v>Category02</v>
      </c>
      <c r="I199" s="7" t="str">
        <f>VLOOKUP(InputData[[#This Row],[PRODUCT ID]],MasterData[],4,0)</f>
        <v>No.</v>
      </c>
      <c r="J199" s="7">
        <f>VLOOKUP(InputData[[#This Row],[PRODUCT ID]],MasterData[],5,0)</f>
        <v>37</v>
      </c>
      <c r="K199" s="8">
        <f>VLOOKUP(InputData[[#This Row],[PRODUCT ID]],MasterData[],6,0)</f>
        <v>49.21</v>
      </c>
      <c r="L199" s="8">
        <f>InputData[[#This Row],[BUYING PRIZE]]*InputData[[#This Row],[QUANTITY]]</f>
        <v>407</v>
      </c>
      <c r="M199" s="8">
        <f>InputData[[#This Row],[SELLING PRICE]]*InputData[[#This Row],[QUANTITY]]*(1-InputData[[#This Row],[DISCOUNT %]])</f>
        <v>541.31000000000006</v>
      </c>
      <c r="N199" s="7">
        <f>DAY(InputData[[#This Row],[DATE]])</f>
        <v>27</v>
      </c>
      <c r="O199" s="7" t="str">
        <f>TEXT(InputData[[#This Row],[DATE]],"MMM")</f>
        <v>Feb</v>
      </c>
      <c r="P199" s="7">
        <f>YEAR(InputData[[#This Row],[DATE]])</f>
        <v>2021</v>
      </c>
    </row>
    <row r="200" spans="1:16" x14ac:dyDescent="0.25">
      <c r="A200" s="3">
        <v>44302</v>
      </c>
      <c r="B200" s="4" t="s">
        <v>43</v>
      </c>
      <c r="C200" s="5">
        <v>15</v>
      </c>
      <c r="D200" s="5" t="s">
        <v>108</v>
      </c>
      <c r="E200" s="5" t="s">
        <v>107</v>
      </c>
      <c r="F200" s="6">
        <v>0</v>
      </c>
      <c r="G200" s="7" t="str">
        <f>VLOOKUP(InputData[[#This Row],[PRODUCT ID]],MasterData[],2,0)</f>
        <v>Note Book</v>
      </c>
      <c r="H200" s="7" t="str">
        <f>VLOOKUP(InputData[[#This Row],[PRODUCT ID]],MasterData[],3,0)</f>
        <v>Category02</v>
      </c>
      <c r="I200" s="7" t="str">
        <f>VLOOKUP(InputData[[#This Row],[PRODUCT ID]],MasterData[],4,0)</f>
        <v>No.</v>
      </c>
      <c r="J200" s="7">
        <f>VLOOKUP(InputData[[#This Row],[PRODUCT ID]],MasterData[],5,0)</f>
        <v>37</v>
      </c>
      <c r="K200" s="8">
        <f>VLOOKUP(InputData[[#This Row],[PRODUCT ID]],MasterData[],6,0)</f>
        <v>49.21</v>
      </c>
      <c r="L200" s="8">
        <f>InputData[[#This Row],[BUYING PRIZE]]*InputData[[#This Row],[QUANTITY]]</f>
        <v>555</v>
      </c>
      <c r="M200" s="8">
        <f>InputData[[#This Row],[SELLING PRICE]]*InputData[[#This Row],[QUANTITY]]*(1-InputData[[#This Row],[DISCOUNT %]])</f>
        <v>738.15</v>
      </c>
      <c r="N200" s="7">
        <f>DAY(InputData[[#This Row],[DATE]])</f>
        <v>16</v>
      </c>
      <c r="O200" s="7" t="str">
        <f>TEXT(InputData[[#This Row],[DATE]],"MMM")</f>
        <v>Apr</v>
      </c>
      <c r="P200" s="7">
        <f>YEAR(InputData[[#This Row],[DATE]])</f>
        <v>2021</v>
      </c>
    </row>
    <row r="201" spans="1:16" x14ac:dyDescent="0.25">
      <c r="A201" s="3">
        <v>44317</v>
      </c>
      <c r="B201" s="4" t="s">
        <v>43</v>
      </c>
      <c r="C201" s="5">
        <v>3</v>
      </c>
      <c r="D201" s="5" t="s">
        <v>106</v>
      </c>
      <c r="E201" s="5" t="s">
        <v>107</v>
      </c>
      <c r="F201" s="6">
        <v>0</v>
      </c>
      <c r="G201" s="7" t="str">
        <f>VLOOKUP(InputData[[#This Row],[PRODUCT ID]],MasterData[],2,0)</f>
        <v>Note Book</v>
      </c>
      <c r="H201" s="7" t="str">
        <f>VLOOKUP(InputData[[#This Row],[PRODUCT ID]],MasterData[],3,0)</f>
        <v>Category02</v>
      </c>
      <c r="I201" s="7" t="str">
        <f>VLOOKUP(InputData[[#This Row],[PRODUCT ID]],MasterData[],4,0)</f>
        <v>No.</v>
      </c>
      <c r="J201" s="7">
        <f>VLOOKUP(InputData[[#This Row],[PRODUCT ID]],MasterData[],5,0)</f>
        <v>37</v>
      </c>
      <c r="K201" s="8">
        <f>VLOOKUP(InputData[[#This Row],[PRODUCT ID]],MasterData[],6,0)</f>
        <v>49.21</v>
      </c>
      <c r="L201" s="8">
        <f>InputData[[#This Row],[BUYING PRIZE]]*InputData[[#This Row],[QUANTITY]]</f>
        <v>111</v>
      </c>
      <c r="M201" s="8">
        <f>InputData[[#This Row],[SELLING PRICE]]*InputData[[#This Row],[QUANTITY]]*(1-InputData[[#This Row],[DISCOUNT %]])</f>
        <v>147.63</v>
      </c>
      <c r="N201" s="7">
        <f>DAY(InputData[[#This Row],[DATE]])</f>
        <v>1</v>
      </c>
      <c r="O201" s="7" t="str">
        <f>TEXT(InputData[[#This Row],[DATE]],"MMM")</f>
        <v>May</v>
      </c>
      <c r="P201" s="7">
        <f>YEAR(InputData[[#This Row],[DATE]])</f>
        <v>2021</v>
      </c>
    </row>
    <row r="202" spans="1:16" x14ac:dyDescent="0.25">
      <c r="A202" s="3">
        <v>44323</v>
      </c>
      <c r="B202" s="4" t="s">
        <v>43</v>
      </c>
      <c r="C202" s="5">
        <v>1</v>
      </c>
      <c r="D202" s="5" t="s">
        <v>108</v>
      </c>
      <c r="E202" s="5" t="s">
        <v>107</v>
      </c>
      <c r="F202" s="6">
        <v>0</v>
      </c>
      <c r="G202" s="7" t="str">
        <f>VLOOKUP(InputData[[#This Row],[PRODUCT ID]],MasterData[],2,0)</f>
        <v>Note Book</v>
      </c>
      <c r="H202" s="7" t="str">
        <f>VLOOKUP(InputData[[#This Row],[PRODUCT ID]],MasterData[],3,0)</f>
        <v>Category02</v>
      </c>
      <c r="I202" s="7" t="str">
        <f>VLOOKUP(InputData[[#This Row],[PRODUCT ID]],MasterData[],4,0)</f>
        <v>No.</v>
      </c>
      <c r="J202" s="7">
        <f>VLOOKUP(InputData[[#This Row],[PRODUCT ID]],MasterData[],5,0)</f>
        <v>37</v>
      </c>
      <c r="K202" s="8">
        <f>VLOOKUP(InputData[[#This Row],[PRODUCT ID]],MasterData[],6,0)</f>
        <v>49.21</v>
      </c>
      <c r="L202" s="8">
        <f>InputData[[#This Row],[BUYING PRIZE]]*InputData[[#This Row],[QUANTITY]]</f>
        <v>37</v>
      </c>
      <c r="M202" s="8">
        <f>InputData[[#This Row],[SELLING PRICE]]*InputData[[#This Row],[QUANTITY]]*(1-InputData[[#This Row],[DISCOUNT %]])</f>
        <v>49.21</v>
      </c>
      <c r="N202" s="7">
        <f>DAY(InputData[[#This Row],[DATE]])</f>
        <v>7</v>
      </c>
      <c r="O202" s="7" t="str">
        <f>TEXT(InputData[[#This Row],[DATE]],"MMM")</f>
        <v>May</v>
      </c>
      <c r="P202" s="7">
        <f>YEAR(InputData[[#This Row],[DATE]])</f>
        <v>2021</v>
      </c>
    </row>
    <row r="203" spans="1:16" x14ac:dyDescent="0.25">
      <c r="A203" s="3">
        <v>44462</v>
      </c>
      <c r="B203" s="4" t="s">
        <v>43</v>
      </c>
      <c r="C203" s="5">
        <v>12</v>
      </c>
      <c r="D203" s="5" t="s">
        <v>108</v>
      </c>
      <c r="E203" s="5" t="s">
        <v>107</v>
      </c>
      <c r="F203" s="6">
        <v>0</v>
      </c>
      <c r="G203" s="7" t="str">
        <f>VLOOKUP(InputData[[#This Row],[PRODUCT ID]],MasterData[],2,0)</f>
        <v>Note Book</v>
      </c>
      <c r="H203" s="7" t="str">
        <f>VLOOKUP(InputData[[#This Row],[PRODUCT ID]],MasterData[],3,0)</f>
        <v>Category02</v>
      </c>
      <c r="I203" s="7" t="str">
        <f>VLOOKUP(InputData[[#This Row],[PRODUCT ID]],MasterData[],4,0)</f>
        <v>No.</v>
      </c>
      <c r="J203" s="7">
        <f>VLOOKUP(InputData[[#This Row],[PRODUCT ID]],MasterData[],5,0)</f>
        <v>37</v>
      </c>
      <c r="K203" s="8">
        <f>VLOOKUP(InputData[[#This Row],[PRODUCT ID]],MasterData[],6,0)</f>
        <v>49.21</v>
      </c>
      <c r="L203" s="8">
        <f>InputData[[#This Row],[BUYING PRIZE]]*InputData[[#This Row],[QUANTITY]]</f>
        <v>444</v>
      </c>
      <c r="M203" s="8">
        <f>InputData[[#This Row],[SELLING PRICE]]*InputData[[#This Row],[QUANTITY]]*(1-InputData[[#This Row],[DISCOUNT %]])</f>
        <v>590.52</v>
      </c>
      <c r="N203" s="7">
        <f>DAY(InputData[[#This Row],[DATE]])</f>
        <v>23</v>
      </c>
      <c r="O203" s="7" t="str">
        <f>TEXT(InputData[[#This Row],[DATE]],"MMM")</f>
        <v>Sep</v>
      </c>
      <c r="P203" s="7">
        <f>YEAR(InputData[[#This Row],[DATE]])</f>
        <v>2021</v>
      </c>
    </row>
    <row r="204" spans="1:16" x14ac:dyDescent="0.25">
      <c r="A204" s="3">
        <v>44597</v>
      </c>
      <c r="B204" s="4" t="s">
        <v>43</v>
      </c>
      <c r="C204" s="5">
        <v>6</v>
      </c>
      <c r="D204" s="5" t="s">
        <v>108</v>
      </c>
      <c r="E204" s="5" t="s">
        <v>107</v>
      </c>
      <c r="F204" s="6">
        <v>0</v>
      </c>
      <c r="G204" s="7" t="str">
        <f>VLOOKUP(InputData[[#This Row],[PRODUCT ID]],MasterData[],2,0)</f>
        <v>Note Book</v>
      </c>
      <c r="H204" s="7" t="str">
        <f>VLOOKUP(InputData[[#This Row],[PRODUCT ID]],MasterData[],3,0)</f>
        <v>Category02</v>
      </c>
      <c r="I204" s="7" t="str">
        <f>VLOOKUP(InputData[[#This Row],[PRODUCT ID]],MasterData[],4,0)</f>
        <v>No.</v>
      </c>
      <c r="J204" s="7">
        <f>VLOOKUP(InputData[[#This Row],[PRODUCT ID]],MasterData[],5,0)</f>
        <v>37</v>
      </c>
      <c r="K204" s="8">
        <f>VLOOKUP(InputData[[#This Row],[PRODUCT ID]],MasterData[],6,0)</f>
        <v>49.21</v>
      </c>
      <c r="L204" s="8">
        <f>InputData[[#This Row],[BUYING PRIZE]]*InputData[[#This Row],[QUANTITY]]</f>
        <v>222</v>
      </c>
      <c r="M204" s="8">
        <f>InputData[[#This Row],[SELLING PRICE]]*InputData[[#This Row],[QUANTITY]]*(1-InputData[[#This Row],[DISCOUNT %]])</f>
        <v>295.26</v>
      </c>
      <c r="N204" s="7">
        <f>DAY(InputData[[#This Row],[DATE]])</f>
        <v>5</v>
      </c>
      <c r="O204" s="7" t="str">
        <f>TEXT(InputData[[#This Row],[DATE]],"MMM")</f>
        <v>Feb</v>
      </c>
      <c r="P204" s="7">
        <f>YEAR(InputData[[#This Row],[DATE]])</f>
        <v>2022</v>
      </c>
    </row>
    <row r="205" spans="1:16" x14ac:dyDescent="0.25">
      <c r="A205" s="3">
        <v>44671</v>
      </c>
      <c r="B205" s="4" t="s">
        <v>43</v>
      </c>
      <c r="C205" s="5">
        <v>2</v>
      </c>
      <c r="D205" s="5" t="s">
        <v>105</v>
      </c>
      <c r="E205" s="5" t="s">
        <v>106</v>
      </c>
      <c r="F205" s="6">
        <v>0</v>
      </c>
      <c r="G205" s="7" t="str">
        <f>VLOOKUP(InputData[[#This Row],[PRODUCT ID]],MasterData[],2,0)</f>
        <v>Note Book</v>
      </c>
      <c r="H205" s="7" t="str">
        <f>VLOOKUP(InputData[[#This Row],[PRODUCT ID]],MasterData[],3,0)</f>
        <v>Category02</v>
      </c>
      <c r="I205" s="7" t="str">
        <f>VLOOKUP(InputData[[#This Row],[PRODUCT ID]],MasterData[],4,0)</f>
        <v>No.</v>
      </c>
      <c r="J205" s="7">
        <f>VLOOKUP(InputData[[#This Row],[PRODUCT ID]],MasterData[],5,0)</f>
        <v>37</v>
      </c>
      <c r="K205" s="8">
        <f>VLOOKUP(InputData[[#This Row],[PRODUCT ID]],MasterData[],6,0)</f>
        <v>49.21</v>
      </c>
      <c r="L205" s="8">
        <f>InputData[[#This Row],[BUYING PRIZE]]*InputData[[#This Row],[QUANTITY]]</f>
        <v>74</v>
      </c>
      <c r="M205" s="8">
        <f>InputData[[#This Row],[SELLING PRICE]]*InputData[[#This Row],[QUANTITY]]*(1-InputData[[#This Row],[DISCOUNT %]])</f>
        <v>98.42</v>
      </c>
      <c r="N205" s="7">
        <f>DAY(InputData[[#This Row],[DATE]])</f>
        <v>20</v>
      </c>
      <c r="O205" s="7" t="str">
        <f>TEXT(InputData[[#This Row],[DATE]],"MMM")</f>
        <v>Apr</v>
      </c>
      <c r="P205" s="7">
        <f>YEAR(InputData[[#This Row],[DATE]])</f>
        <v>2022</v>
      </c>
    </row>
    <row r="206" spans="1:16" x14ac:dyDescent="0.25">
      <c r="A206" s="3">
        <v>44736</v>
      </c>
      <c r="B206" s="4" t="s">
        <v>43</v>
      </c>
      <c r="C206" s="5">
        <v>7</v>
      </c>
      <c r="D206" s="5" t="s">
        <v>108</v>
      </c>
      <c r="E206" s="5" t="s">
        <v>107</v>
      </c>
      <c r="F206" s="6">
        <v>0</v>
      </c>
      <c r="G206" s="7" t="str">
        <f>VLOOKUP(InputData[[#This Row],[PRODUCT ID]],MasterData[],2,0)</f>
        <v>Note Book</v>
      </c>
      <c r="H206" s="7" t="str">
        <f>VLOOKUP(InputData[[#This Row],[PRODUCT ID]],MasterData[],3,0)</f>
        <v>Category02</v>
      </c>
      <c r="I206" s="7" t="str">
        <f>VLOOKUP(InputData[[#This Row],[PRODUCT ID]],MasterData[],4,0)</f>
        <v>No.</v>
      </c>
      <c r="J206" s="7">
        <f>VLOOKUP(InputData[[#This Row],[PRODUCT ID]],MasterData[],5,0)</f>
        <v>37</v>
      </c>
      <c r="K206" s="8">
        <f>VLOOKUP(InputData[[#This Row],[PRODUCT ID]],MasterData[],6,0)</f>
        <v>49.21</v>
      </c>
      <c r="L206" s="8">
        <f>InputData[[#This Row],[BUYING PRIZE]]*InputData[[#This Row],[QUANTITY]]</f>
        <v>259</v>
      </c>
      <c r="M206" s="8">
        <f>InputData[[#This Row],[SELLING PRICE]]*InputData[[#This Row],[QUANTITY]]*(1-InputData[[#This Row],[DISCOUNT %]])</f>
        <v>344.47</v>
      </c>
      <c r="N206" s="7">
        <f>DAY(InputData[[#This Row],[DATE]])</f>
        <v>24</v>
      </c>
      <c r="O206" s="7" t="str">
        <f>TEXT(InputData[[#This Row],[DATE]],"MMM")</f>
        <v>Jun</v>
      </c>
      <c r="P206" s="7">
        <f>YEAR(InputData[[#This Row],[DATE]])</f>
        <v>2022</v>
      </c>
    </row>
    <row r="207" spans="1:16" x14ac:dyDescent="0.25">
      <c r="A207" s="3">
        <v>44750</v>
      </c>
      <c r="B207" s="4" t="s">
        <v>43</v>
      </c>
      <c r="C207" s="5">
        <v>2</v>
      </c>
      <c r="D207" s="5" t="s">
        <v>108</v>
      </c>
      <c r="E207" s="5" t="s">
        <v>106</v>
      </c>
      <c r="F207" s="6">
        <v>0</v>
      </c>
      <c r="G207" s="7" t="str">
        <f>VLOOKUP(InputData[[#This Row],[PRODUCT ID]],MasterData[],2,0)</f>
        <v>Note Book</v>
      </c>
      <c r="H207" s="7" t="str">
        <f>VLOOKUP(InputData[[#This Row],[PRODUCT ID]],MasterData[],3,0)</f>
        <v>Category02</v>
      </c>
      <c r="I207" s="7" t="str">
        <f>VLOOKUP(InputData[[#This Row],[PRODUCT ID]],MasterData[],4,0)</f>
        <v>No.</v>
      </c>
      <c r="J207" s="7">
        <f>VLOOKUP(InputData[[#This Row],[PRODUCT ID]],MasterData[],5,0)</f>
        <v>37</v>
      </c>
      <c r="K207" s="8">
        <f>VLOOKUP(InputData[[#This Row],[PRODUCT ID]],MasterData[],6,0)</f>
        <v>49.21</v>
      </c>
      <c r="L207" s="8">
        <f>InputData[[#This Row],[BUYING PRIZE]]*InputData[[#This Row],[QUANTITY]]</f>
        <v>74</v>
      </c>
      <c r="M207" s="8">
        <f>InputData[[#This Row],[SELLING PRICE]]*InputData[[#This Row],[QUANTITY]]*(1-InputData[[#This Row],[DISCOUNT %]])</f>
        <v>98.42</v>
      </c>
      <c r="N207" s="7">
        <f>DAY(InputData[[#This Row],[DATE]])</f>
        <v>8</v>
      </c>
      <c r="O207" s="7" t="str">
        <f>TEXT(InputData[[#This Row],[DATE]],"MMM")</f>
        <v>Jul</v>
      </c>
      <c r="P207" s="7">
        <f>YEAR(InputData[[#This Row],[DATE]])</f>
        <v>2022</v>
      </c>
    </row>
    <row r="208" spans="1:16" x14ac:dyDescent="0.25">
      <c r="A208" s="3">
        <v>44765</v>
      </c>
      <c r="B208" s="4" t="s">
        <v>43</v>
      </c>
      <c r="C208" s="5">
        <v>2</v>
      </c>
      <c r="D208" s="5" t="s">
        <v>106</v>
      </c>
      <c r="E208" s="5" t="s">
        <v>106</v>
      </c>
      <c r="F208" s="6">
        <v>0</v>
      </c>
      <c r="G208" s="7" t="str">
        <f>VLOOKUP(InputData[[#This Row],[PRODUCT ID]],MasterData[],2,0)</f>
        <v>Note Book</v>
      </c>
      <c r="H208" s="7" t="str">
        <f>VLOOKUP(InputData[[#This Row],[PRODUCT ID]],MasterData[],3,0)</f>
        <v>Category02</v>
      </c>
      <c r="I208" s="7" t="str">
        <f>VLOOKUP(InputData[[#This Row],[PRODUCT ID]],MasterData[],4,0)</f>
        <v>No.</v>
      </c>
      <c r="J208" s="7">
        <f>VLOOKUP(InputData[[#This Row],[PRODUCT ID]],MasterData[],5,0)</f>
        <v>37</v>
      </c>
      <c r="K208" s="8">
        <f>VLOOKUP(InputData[[#This Row],[PRODUCT ID]],MasterData[],6,0)</f>
        <v>49.21</v>
      </c>
      <c r="L208" s="8">
        <f>InputData[[#This Row],[BUYING PRIZE]]*InputData[[#This Row],[QUANTITY]]</f>
        <v>74</v>
      </c>
      <c r="M208" s="8">
        <f>InputData[[#This Row],[SELLING PRICE]]*InputData[[#This Row],[QUANTITY]]*(1-InputData[[#This Row],[DISCOUNT %]])</f>
        <v>98.42</v>
      </c>
      <c r="N208" s="7">
        <f>DAY(InputData[[#This Row],[DATE]])</f>
        <v>23</v>
      </c>
      <c r="O208" s="7" t="str">
        <f>TEXT(InputData[[#This Row],[DATE]],"MMM")</f>
        <v>Jul</v>
      </c>
      <c r="P208" s="7">
        <f>YEAR(InputData[[#This Row],[DATE]])</f>
        <v>2022</v>
      </c>
    </row>
    <row r="209" spans="1:16" x14ac:dyDescent="0.25">
      <c r="A209" s="3">
        <v>44825</v>
      </c>
      <c r="B209" s="4" t="s">
        <v>43</v>
      </c>
      <c r="C209" s="5">
        <v>14</v>
      </c>
      <c r="D209" s="5" t="s">
        <v>106</v>
      </c>
      <c r="E209" s="5" t="s">
        <v>106</v>
      </c>
      <c r="F209" s="6">
        <v>0</v>
      </c>
      <c r="G209" s="7" t="str">
        <f>VLOOKUP(InputData[[#This Row],[PRODUCT ID]],MasterData[],2,0)</f>
        <v>Note Book</v>
      </c>
      <c r="H209" s="7" t="str">
        <f>VLOOKUP(InputData[[#This Row],[PRODUCT ID]],MasterData[],3,0)</f>
        <v>Category02</v>
      </c>
      <c r="I209" s="7" t="str">
        <f>VLOOKUP(InputData[[#This Row],[PRODUCT ID]],MasterData[],4,0)</f>
        <v>No.</v>
      </c>
      <c r="J209" s="7">
        <f>VLOOKUP(InputData[[#This Row],[PRODUCT ID]],MasterData[],5,0)</f>
        <v>37</v>
      </c>
      <c r="K209" s="8">
        <f>VLOOKUP(InputData[[#This Row],[PRODUCT ID]],MasterData[],6,0)</f>
        <v>49.21</v>
      </c>
      <c r="L209" s="8">
        <f>InputData[[#This Row],[BUYING PRIZE]]*InputData[[#This Row],[QUANTITY]]</f>
        <v>518</v>
      </c>
      <c r="M209" s="8">
        <f>InputData[[#This Row],[SELLING PRICE]]*InputData[[#This Row],[QUANTITY]]*(1-InputData[[#This Row],[DISCOUNT %]])</f>
        <v>688.94</v>
      </c>
      <c r="N209" s="7">
        <f>DAY(InputData[[#This Row],[DATE]])</f>
        <v>21</v>
      </c>
      <c r="O209" s="7" t="str">
        <f>TEXT(InputData[[#This Row],[DATE]],"MMM")</f>
        <v>Sep</v>
      </c>
      <c r="P209" s="7">
        <f>YEAR(InputData[[#This Row],[DATE]])</f>
        <v>2022</v>
      </c>
    </row>
    <row r="210" spans="1:16" x14ac:dyDescent="0.25">
      <c r="A210" s="3">
        <v>44875</v>
      </c>
      <c r="B210" s="4" t="s">
        <v>43</v>
      </c>
      <c r="C210" s="5">
        <v>7</v>
      </c>
      <c r="D210" s="5" t="s">
        <v>108</v>
      </c>
      <c r="E210" s="5" t="s">
        <v>106</v>
      </c>
      <c r="F210" s="6">
        <v>0</v>
      </c>
      <c r="G210" s="7" t="str">
        <f>VLOOKUP(InputData[[#This Row],[PRODUCT ID]],MasterData[],2,0)</f>
        <v>Note Book</v>
      </c>
      <c r="H210" s="7" t="str">
        <f>VLOOKUP(InputData[[#This Row],[PRODUCT ID]],MasterData[],3,0)</f>
        <v>Category02</v>
      </c>
      <c r="I210" s="7" t="str">
        <f>VLOOKUP(InputData[[#This Row],[PRODUCT ID]],MasterData[],4,0)</f>
        <v>No.</v>
      </c>
      <c r="J210" s="7">
        <f>VLOOKUP(InputData[[#This Row],[PRODUCT ID]],MasterData[],5,0)</f>
        <v>37</v>
      </c>
      <c r="K210" s="8">
        <f>VLOOKUP(InputData[[#This Row],[PRODUCT ID]],MasterData[],6,0)</f>
        <v>49.21</v>
      </c>
      <c r="L210" s="8">
        <f>InputData[[#This Row],[BUYING PRIZE]]*InputData[[#This Row],[QUANTITY]]</f>
        <v>259</v>
      </c>
      <c r="M210" s="8">
        <f>InputData[[#This Row],[SELLING PRICE]]*InputData[[#This Row],[QUANTITY]]*(1-InputData[[#This Row],[DISCOUNT %]])</f>
        <v>344.47</v>
      </c>
      <c r="N210" s="7">
        <f>DAY(InputData[[#This Row],[DATE]])</f>
        <v>10</v>
      </c>
      <c r="O210" s="7" t="str">
        <f>TEXT(InputData[[#This Row],[DATE]],"MMM")</f>
        <v>Nov</v>
      </c>
      <c r="P210" s="7">
        <f>YEAR(InputData[[#This Row],[DATE]])</f>
        <v>2022</v>
      </c>
    </row>
    <row r="211" spans="1:16" x14ac:dyDescent="0.25">
      <c r="A211" s="3">
        <v>44304</v>
      </c>
      <c r="B211" s="4" t="s">
        <v>45</v>
      </c>
      <c r="C211" s="5">
        <v>13</v>
      </c>
      <c r="D211" s="5" t="s">
        <v>108</v>
      </c>
      <c r="E211" s="5" t="s">
        <v>107</v>
      </c>
      <c r="F211" s="6">
        <v>0</v>
      </c>
      <c r="G211" s="7" t="str">
        <f>VLOOKUP(InputData[[#This Row],[PRODUCT ID]],MasterData[],2,0)</f>
        <v>Bucket</v>
      </c>
      <c r="H211" s="7" t="str">
        <f>VLOOKUP(InputData[[#This Row],[PRODUCT ID]],MasterData[],3,0)</f>
        <v>Category02</v>
      </c>
      <c r="I211" s="7" t="str">
        <f>VLOOKUP(InputData[[#This Row],[PRODUCT ID]],MasterData[],4,0)</f>
        <v>Ft</v>
      </c>
      <c r="J211" s="7">
        <f>VLOOKUP(InputData[[#This Row],[PRODUCT ID]],MasterData[],5,0)</f>
        <v>150</v>
      </c>
      <c r="K211" s="8">
        <f>VLOOKUP(InputData[[#This Row],[PRODUCT ID]],MasterData[],6,0)</f>
        <v>210</v>
      </c>
      <c r="L211" s="8">
        <f>InputData[[#This Row],[BUYING PRIZE]]*InputData[[#This Row],[QUANTITY]]</f>
        <v>1950</v>
      </c>
      <c r="M211" s="8">
        <f>InputData[[#This Row],[SELLING PRICE]]*InputData[[#This Row],[QUANTITY]]*(1-InputData[[#This Row],[DISCOUNT %]])</f>
        <v>2730</v>
      </c>
      <c r="N211" s="7">
        <f>DAY(InputData[[#This Row],[DATE]])</f>
        <v>18</v>
      </c>
      <c r="O211" s="7" t="str">
        <f>TEXT(InputData[[#This Row],[DATE]],"MMM")</f>
        <v>Apr</v>
      </c>
      <c r="P211" s="7">
        <f>YEAR(InputData[[#This Row],[DATE]])</f>
        <v>2021</v>
      </c>
    </row>
    <row r="212" spans="1:16" x14ac:dyDescent="0.25">
      <c r="A212" s="3">
        <v>44363</v>
      </c>
      <c r="B212" s="4" t="s">
        <v>45</v>
      </c>
      <c r="C212" s="5">
        <v>5</v>
      </c>
      <c r="D212" s="5" t="s">
        <v>105</v>
      </c>
      <c r="E212" s="5" t="s">
        <v>107</v>
      </c>
      <c r="F212" s="6">
        <v>0</v>
      </c>
      <c r="G212" s="7" t="str">
        <f>VLOOKUP(InputData[[#This Row],[PRODUCT ID]],MasterData[],2,0)</f>
        <v>Bucket</v>
      </c>
      <c r="H212" s="7" t="str">
        <f>VLOOKUP(InputData[[#This Row],[PRODUCT ID]],MasterData[],3,0)</f>
        <v>Category02</v>
      </c>
      <c r="I212" s="7" t="str">
        <f>VLOOKUP(InputData[[#This Row],[PRODUCT ID]],MasterData[],4,0)</f>
        <v>Ft</v>
      </c>
      <c r="J212" s="7">
        <f>VLOOKUP(InputData[[#This Row],[PRODUCT ID]],MasterData[],5,0)</f>
        <v>150</v>
      </c>
      <c r="K212" s="8">
        <f>VLOOKUP(InputData[[#This Row],[PRODUCT ID]],MasterData[],6,0)</f>
        <v>210</v>
      </c>
      <c r="L212" s="8">
        <f>InputData[[#This Row],[BUYING PRIZE]]*InputData[[#This Row],[QUANTITY]]</f>
        <v>750</v>
      </c>
      <c r="M212" s="8">
        <f>InputData[[#This Row],[SELLING PRICE]]*InputData[[#This Row],[QUANTITY]]*(1-InputData[[#This Row],[DISCOUNT %]])</f>
        <v>1050</v>
      </c>
      <c r="N212" s="7">
        <f>DAY(InputData[[#This Row],[DATE]])</f>
        <v>16</v>
      </c>
      <c r="O212" s="7" t="str">
        <f>TEXT(InputData[[#This Row],[DATE]],"MMM")</f>
        <v>Jun</v>
      </c>
      <c r="P212" s="7">
        <f>YEAR(InputData[[#This Row],[DATE]])</f>
        <v>2021</v>
      </c>
    </row>
    <row r="213" spans="1:16" x14ac:dyDescent="0.25">
      <c r="A213" s="3">
        <v>44390</v>
      </c>
      <c r="B213" s="4" t="s">
        <v>45</v>
      </c>
      <c r="C213" s="5">
        <v>1</v>
      </c>
      <c r="D213" s="5" t="s">
        <v>108</v>
      </c>
      <c r="E213" s="5" t="s">
        <v>107</v>
      </c>
      <c r="F213" s="6">
        <v>0</v>
      </c>
      <c r="G213" s="7" t="str">
        <f>VLOOKUP(InputData[[#This Row],[PRODUCT ID]],MasterData[],2,0)</f>
        <v>Bucket</v>
      </c>
      <c r="H213" s="7" t="str">
        <f>VLOOKUP(InputData[[#This Row],[PRODUCT ID]],MasterData[],3,0)</f>
        <v>Category02</v>
      </c>
      <c r="I213" s="7" t="str">
        <f>VLOOKUP(InputData[[#This Row],[PRODUCT ID]],MasterData[],4,0)</f>
        <v>Ft</v>
      </c>
      <c r="J213" s="7">
        <f>VLOOKUP(InputData[[#This Row],[PRODUCT ID]],MasterData[],5,0)</f>
        <v>150</v>
      </c>
      <c r="K213" s="8">
        <f>VLOOKUP(InputData[[#This Row],[PRODUCT ID]],MasterData[],6,0)</f>
        <v>210</v>
      </c>
      <c r="L213" s="8">
        <f>InputData[[#This Row],[BUYING PRIZE]]*InputData[[#This Row],[QUANTITY]]</f>
        <v>150</v>
      </c>
      <c r="M213" s="8">
        <f>InputData[[#This Row],[SELLING PRICE]]*InputData[[#This Row],[QUANTITY]]*(1-InputData[[#This Row],[DISCOUNT %]])</f>
        <v>210</v>
      </c>
      <c r="N213" s="7">
        <f>DAY(InputData[[#This Row],[DATE]])</f>
        <v>13</v>
      </c>
      <c r="O213" s="7" t="str">
        <f>TEXT(InputData[[#This Row],[DATE]],"MMM")</f>
        <v>Jul</v>
      </c>
      <c r="P213" s="7">
        <f>YEAR(InputData[[#This Row],[DATE]])</f>
        <v>2021</v>
      </c>
    </row>
    <row r="214" spans="1:16" x14ac:dyDescent="0.25">
      <c r="A214" s="3">
        <v>44446</v>
      </c>
      <c r="B214" s="4" t="s">
        <v>45</v>
      </c>
      <c r="C214" s="5">
        <v>5</v>
      </c>
      <c r="D214" s="5" t="s">
        <v>108</v>
      </c>
      <c r="E214" s="5" t="s">
        <v>106</v>
      </c>
      <c r="F214" s="6">
        <v>0</v>
      </c>
      <c r="G214" s="7" t="str">
        <f>VLOOKUP(InputData[[#This Row],[PRODUCT ID]],MasterData[],2,0)</f>
        <v>Bucket</v>
      </c>
      <c r="H214" s="7" t="str">
        <f>VLOOKUP(InputData[[#This Row],[PRODUCT ID]],MasterData[],3,0)</f>
        <v>Category02</v>
      </c>
      <c r="I214" s="7" t="str">
        <f>VLOOKUP(InputData[[#This Row],[PRODUCT ID]],MasterData[],4,0)</f>
        <v>Ft</v>
      </c>
      <c r="J214" s="7">
        <f>VLOOKUP(InputData[[#This Row],[PRODUCT ID]],MasterData[],5,0)</f>
        <v>150</v>
      </c>
      <c r="K214" s="8">
        <f>VLOOKUP(InputData[[#This Row],[PRODUCT ID]],MasterData[],6,0)</f>
        <v>210</v>
      </c>
      <c r="L214" s="8">
        <f>InputData[[#This Row],[BUYING PRIZE]]*InputData[[#This Row],[QUANTITY]]</f>
        <v>750</v>
      </c>
      <c r="M214" s="8">
        <f>InputData[[#This Row],[SELLING PRICE]]*InputData[[#This Row],[QUANTITY]]*(1-InputData[[#This Row],[DISCOUNT %]])</f>
        <v>1050</v>
      </c>
      <c r="N214" s="7">
        <f>DAY(InputData[[#This Row],[DATE]])</f>
        <v>7</v>
      </c>
      <c r="O214" s="7" t="str">
        <f>TEXT(InputData[[#This Row],[DATE]],"MMM")</f>
        <v>Sep</v>
      </c>
      <c r="P214" s="7">
        <f>YEAR(InputData[[#This Row],[DATE]])</f>
        <v>2021</v>
      </c>
    </row>
    <row r="215" spans="1:16" x14ac:dyDescent="0.25">
      <c r="A215" s="3">
        <v>44472</v>
      </c>
      <c r="B215" s="4" t="s">
        <v>45</v>
      </c>
      <c r="C215" s="5">
        <v>9</v>
      </c>
      <c r="D215" s="5" t="s">
        <v>108</v>
      </c>
      <c r="E215" s="5" t="s">
        <v>106</v>
      </c>
      <c r="F215" s="6">
        <v>0</v>
      </c>
      <c r="G215" s="7" t="str">
        <f>VLOOKUP(InputData[[#This Row],[PRODUCT ID]],MasterData[],2,0)</f>
        <v>Bucket</v>
      </c>
      <c r="H215" s="7" t="str">
        <f>VLOOKUP(InputData[[#This Row],[PRODUCT ID]],MasterData[],3,0)</f>
        <v>Category02</v>
      </c>
      <c r="I215" s="7" t="str">
        <f>VLOOKUP(InputData[[#This Row],[PRODUCT ID]],MasterData[],4,0)</f>
        <v>Ft</v>
      </c>
      <c r="J215" s="7">
        <f>VLOOKUP(InputData[[#This Row],[PRODUCT ID]],MasterData[],5,0)</f>
        <v>150</v>
      </c>
      <c r="K215" s="8">
        <f>VLOOKUP(InputData[[#This Row],[PRODUCT ID]],MasterData[],6,0)</f>
        <v>210</v>
      </c>
      <c r="L215" s="8">
        <f>InputData[[#This Row],[BUYING PRIZE]]*InputData[[#This Row],[QUANTITY]]</f>
        <v>1350</v>
      </c>
      <c r="M215" s="8">
        <f>InputData[[#This Row],[SELLING PRICE]]*InputData[[#This Row],[QUANTITY]]*(1-InputData[[#This Row],[DISCOUNT %]])</f>
        <v>1890</v>
      </c>
      <c r="N215" s="7">
        <f>DAY(InputData[[#This Row],[DATE]])</f>
        <v>3</v>
      </c>
      <c r="O215" s="7" t="str">
        <f>TEXT(InputData[[#This Row],[DATE]],"MMM")</f>
        <v>Oct</v>
      </c>
      <c r="P215" s="7">
        <f>YEAR(InputData[[#This Row],[DATE]])</f>
        <v>2021</v>
      </c>
    </row>
    <row r="216" spans="1:16" x14ac:dyDescent="0.25">
      <c r="A216" s="3">
        <v>44533</v>
      </c>
      <c r="B216" s="4" t="s">
        <v>45</v>
      </c>
      <c r="C216" s="5">
        <v>8</v>
      </c>
      <c r="D216" s="5" t="s">
        <v>106</v>
      </c>
      <c r="E216" s="5" t="s">
        <v>106</v>
      </c>
      <c r="F216" s="6">
        <v>0</v>
      </c>
      <c r="G216" s="7" t="str">
        <f>VLOOKUP(InputData[[#This Row],[PRODUCT ID]],MasterData[],2,0)</f>
        <v>Bucket</v>
      </c>
      <c r="H216" s="7" t="str">
        <f>VLOOKUP(InputData[[#This Row],[PRODUCT ID]],MasterData[],3,0)</f>
        <v>Category02</v>
      </c>
      <c r="I216" s="7" t="str">
        <f>VLOOKUP(InputData[[#This Row],[PRODUCT ID]],MasterData[],4,0)</f>
        <v>Ft</v>
      </c>
      <c r="J216" s="7">
        <f>VLOOKUP(InputData[[#This Row],[PRODUCT ID]],MasterData[],5,0)</f>
        <v>150</v>
      </c>
      <c r="K216" s="8">
        <f>VLOOKUP(InputData[[#This Row],[PRODUCT ID]],MasterData[],6,0)</f>
        <v>210</v>
      </c>
      <c r="L216" s="8">
        <f>InputData[[#This Row],[BUYING PRIZE]]*InputData[[#This Row],[QUANTITY]]</f>
        <v>1200</v>
      </c>
      <c r="M216" s="8">
        <f>InputData[[#This Row],[SELLING PRICE]]*InputData[[#This Row],[QUANTITY]]*(1-InputData[[#This Row],[DISCOUNT %]])</f>
        <v>1680</v>
      </c>
      <c r="N216" s="7">
        <f>DAY(InputData[[#This Row],[DATE]])</f>
        <v>3</v>
      </c>
      <c r="O216" s="7" t="str">
        <f>TEXT(InputData[[#This Row],[DATE]],"MMM")</f>
        <v>Dec</v>
      </c>
      <c r="P216" s="7">
        <f>YEAR(InputData[[#This Row],[DATE]])</f>
        <v>2021</v>
      </c>
    </row>
    <row r="217" spans="1:16" x14ac:dyDescent="0.25">
      <c r="A217" s="3">
        <v>44574</v>
      </c>
      <c r="B217" s="4" t="s">
        <v>45</v>
      </c>
      <c r="C217" s="5">
        <v>6</v>
      </c>
      <c r="D217" s="5" t="s">
        <v>106</v>
      </c>
      <c r="E217" s="5" t="s">
        <v>106</v>
      </c>
      <c r="F217" s="6">
        <v>0</v>
      </c>
      <c r="G217" s="7" t="str">
        <f>VLOOKUP(InputData[[#This Row],[PRODUCT ID]],MasterData[],2,0)</f>
        <v>Bucket</v>
      </c>
      <c r="H217" s="7" t="str">
        <f>VLOOKUP(InputData[[#This Row],[PRODUCT ID]],MasterData[],3,0)</f>
        <v>Category02</v>
      </c>
      <c r="I217" s="7" t="str">
        <f>VLOOKUP(InputData[[#This Row],[PRODUCT ID]],MasterData[],4,0)</f>
        <v>Ft</v>
      </c>
      <c r="J217" s="7">
        <f>VLOOKUP(InputData[[#This Row],[PRODUCT ID]],MasterData[],5,0)</f>
        <v>150</v>
      </c>
      <c r="K217" s="8">
        <f>VLOOKUP(InputData[[#This Row],[PRODUCT ID]],MasterData[],6,0)</f>
        <v>210</v>
      </c>
      <c r="L217" s="8">
        <f>InputData[[#This Row],[BUYING PRIZE]]*InputData[[#This Row],[QUANTITY]]</f>
        <v>900</v>
      </c>
      <c r="M217" s="8">
        <f>InputData[[#This Row],[SELLING PRICE]]*InputData[[#This Row],[QUANTITY]]*(1-InputData[[#This Row],[DISCOUNT %]])</f>
        <v>1260</v>
      </c>
      <c r="N217" s="7">
        <f>DAY(InputData[[#This Row],[DATE]])</f>
        <v>13</v>
      </c>
      <c r="O217" s="7" t="str">
        <f>TEXT(InputData[[#This Row],[DATE]],"MMM")</f>
        <v>Jan</v>
      </c>
      <c r="P217" s="7">
        <f>YEAR(InputData[[#This Row],[DATE]])</f>
        <v>2022</v>
      </c>
    </row>
    <row r="218" spans="1:16" x14ac:dyDescent="0.25">
      <c r="A218" s="3">
        <v>44638</v>
      </c>
      <c r="B218" s="4" t="s">
        <v>45</v>
      </c>
      <c r="C218" s="5">
        <v>2</v>
      </c>
      <c r="D218" s="5" t="s">
        <v>106</v>
      </c>
      <c r="E218" s="5" t="s">
        <v>107</v>
      </c>
      <c r="F218" s="6">
        <v>0</v>
      </c>
      <c r="G218" s="7" t="str">
        <f>VLOOKUP(InputData[[#This Row],[PRODUCT ID]],MasterData[],2,0)</f>
        <v>Bucket</v>
      </c>
      <c r="H218" s="7" t="str">
        <f>VLOOKUP(InputData[[#This Row],[PRODUCT ID]],MasterData[],3,0)</f>
        <v>Category02</v>
      </c>
      <c r="I218" s="7" t="str">
        <f>VLOOKUP(InputData[[#This Row],[PRODUCT ID]],MasterData[],4,0)</f>
        <v>Ft</v>
      </c>
      <c r="J218" s="7">
        <f>VLOOKUP(InputData[[#This Row],[PRODUCT ID]],MasterData[],5,0)</f>
        <v>150</v>
      </c>
      <c r="K218" s="8">
        <f>VLOOKUP(InputData[[#This Row],[PRODUCT ID]],MasterData[],6,0)</f>
        <v>210</v>
      </c>
      <c r="L218" s="8">
        <f>InputData[[#This Row],[BUYING PRIZE]]*InputData[[#This Row],[QUANTITY]]</f>
        <v>300</v>
      </c>
      <c r="M218" s="8">
        <f>InputData[[#This Row],[SELLING PRICE]]*InputData[[#This Row],[QUANTITY]]*(1-InputData[[#This Row],[DISCOUNT %]])</f>
        <v>420</v>
      </c>
      <c r="N218" s="7">
        <f>DAY(InputData[[#This Row],[DATE]])</f>
        <v>18</v>
      </c>
      <c r="O218" s="7" t="str">
        <f>TEXT(InputData[[#This Row],[DATE]],"MMM")</f>
        <v>Mar</v>
      </c>
      <c r="P218" s="7">
        <f>YEAR(InputData[[#This Row],[DATE]])</f>
        <v>2022</v>
      </c>
    </row>
    <row r="219" spans="1:16" x14ac:dyDescent="0.25">
      <c r="A219" s="3">
        <v>44799</v>
      </c>
      <c r="B219" s="4" t="s">
        <v>45</v>
      </c>
      <c r="C219" s="5">
        <v>13</v>
      </c>
      <c r="D219" s="5" t="s">
        <v>105</v>
      </c>
      <c r="E219" s="5" t="s">
        <v>107</v>
      </c>
      <c r="F219" s="6">
        <v>0</v>
      </c>
      <c r="G219" s="7" t="str">
        <f>VLOOKUP(InputData[[#This Row],[PRODUCT ID]],MasterData[],2,0)</f>
        <v>Bucket</v>
      </c>
      <c r="H219" s="7" t="str">
        <f>VLOOKUP(InputData[[#This Row],[PRODUCT ID]],MasterData[],3,0)</f>
        <v>Category02</v>
      </c>
      <c r="I219" s="7" t="str">
        <f>VLOOKUP(InputData[[#This Row],[PRODUCT ID]],MasterData[],4,0)</f>
        <v>Ft</v>
      </c>
      <c r="J219" s="7">
        <f>VLOOKUP(InputData[[#This Row],[PRODUCT ID]],MasterData[],5,0)</f>
        <v>150</v>
      </c>
      <c r="K219" s="8">
        <f>VLOOKUP(InputData[[#This Row],[PRODUCT ID]],MasterData[],6,0)</f>
        <v>210</v>
      </c>
      <c r="L219" s="8">
        <f>InputData[[#This Row],[BUYING PRIZE]]*InputData[[#This Row],[QUANTITY]]</f>
        <v>1950</v>
      </c>
      <c r="M219" s="8">
        <f>InputData[[#This Row],[SELLING PRICE]]*InputData[[#This Row],[QUANTITY]]*(1-InputData[[#This Row],[DISCOUNT %]])</f>
        <v>2730</v>
      </c>
      <c r="N219" s="7">
        <f>DAY(InputData[[#This Row],[DATE]])</f>
        <v>26</v>
      </c>
      <c r="O219" s="7" t="str">
        <f>TEXT(InputData[[#This Row],[DATE]],"MMM")</f>
        <v>Aug</v>
      </c>
      <c r="P219" s="7">
        <f>YEAR(InputData[[#This Row],[DATE]])</f>
        <v>2022</v>
      </c>
    </row>
    <row r="220" spans="1:16" x14ac:dyDescent="0.25">
      <c r="A220" s="3">
        <v>44844</v>
      </c>
      <c r="B220" s="4" t="s">
        <v>45</v>
      </c>
      <c r="C220" s="5">
        <v>9</v>
      </c>
      <c r="D220" s="5" t="s">
        <v>108</v>
      </c>
      <c r="E220" s="5" t="s">
        <v>106</v>
      </c>
      <c r="F220" s="6">
        <v>0</v>
      </c>
      <c r="G220" s="7" t="str">
        <f>VLOOKUP(InputData[[#This Row],[PRODUCT ID]],MasterData[],2,0)</f>
        <v>Bucket</v>
      </c>
      <c r="H220" s="7" t="str">
        <f>VLOOKUP(InputData[[#This Row],[PRODUCT ID]],MasterData[],3,0)</f>
        <v>Category02</v>
      </c>
      <c r="I220" s="7" t="str">
        <f>VLOOKUP(InputData[[#This Row],[PRODUCT ID]],MasterData[],4,0)</f>
        <v>Ft</v>
      </c>
      <c r="J220" s="7">
        <f>VLOOKUP(InputData[[#This Row],[PRODUCT ID]],MasterData[],5,0)</f>
        <v>150</v>
      </c>
      <c r="K220" s="8">
        <f>VLOOKUP(InputData[[#This Row],[PRODUCT ID]],MasterData[],6,0)</f>
        <v>210</v>
      </c>
      <c r="L220" s="8">
        <f>InputData[[#This Row],[BUYING PRIZE]]*InputData[[#This Row],[QUANTITY]]</f>
        <v>1350</v>
      </c>
      <c r="M220" s="8">
        <f>InputData[[#This Row],[SELLING PRICE]]*InputData[[#This Row],[QUANTITY]]*(1-InputData[[#This Row],[DISCOUNT %]])</f>
        <v>1890</v>
      </c>
      <c r="N220" s="7">
        <f>DAY(InputData[[#This Row],[DATE]])</f>
        <v>10</v>
      </c>
      <c r="O220" s="7" t="str">
        <f>TEXT(InputData[[#This Row],[DATE]],"MMM")</f>
        <v>Oct</v>
      </c>
      <c r="P220" s="7">
        <f>YEAR(InputData[[#This Row],[DATE]])</f>
        <v>2022</v>
      </c>
    </row>
    <row r="221" spans="1:16" x14ac:dyDescent="0.25">
      <c r="A221" s="3">
        <v>44870</v>
      </c>
      <c r="B221" s="4" t="s">
        <v>45</v>
      </c>
      <c r="C221" s="5">
        <v>15</v>
      </c>
      <c r="D221" s="5" t="s">
        <v>108</v>
      </c>
      <c r="E221" s="5" t="s">
        <v>107</v>
      </c>
      <c r="F221" s="6">
        <v>0</v>
      </c>
      <c r="G221" s="7" t="str">
        <f>VLOOKUP(InputData[[#This Row],[PRODUCT ID]],MasterData[],2,0)</f>
        <v>Bucket</v>
      </c>
      <c r="H221" s="7" t="str">
        <f>VLOOKUP(InputData[[#This Row],[PRODUCT ID]],MasterData[],3,0)</f>
        <v>Category02</v>
      </c>
      <c r="I221" s="7" t="str">
        <f>VLOOKUP(InputData[[#This Row],[PRODUCT ID]],MasterData[],4,0)</f>
        <v>Ft</v>
      </c>
      <c r="J221" s="7">
        <f>VLOOKUP(InputData[[#This Row],[PRODUCT ID]],MasterData[],5,0)</f>
        <v>150</v>
      </c>
      <c r="K221" s="8">
        <f>VLOOKUP(InputData[[#This Row],[PRODUCT ID]],MasterData[],6,0)</f>
        <v>210</v>
      </c>
      <c r="L221" s="8">
        <f>InputData[[#This Row],[BUYING PRIZE]]*InputData[[#This Row],[QUANTITY]]</f>
        <v>2250</v>
      </c>
      <c r="M221" s="8">
        <f>InputData[[#This Row],[SELLING PRICE]]*InputData[[#This Row],[QUANTITY]]*(1-InputData[[#This Row],[DISCOUNT %]])</f>
        <v>3150</v>
      </c>
      <c r="N221" s="7">
        <f>DAY(InputData[[#This Row],[DATE]])</f>
        <v>5</v>
      </c>
      <c r="O221" s="7" t="str">
        <f>TEXT(InputData[[#This Row],[DATE]],"MMM")</f>
        <v>Nov</v>
      </c>
      <c r="P221" s="7">
        <f>YEAR(InputData[[#This Row],[DATE]])</f>
        <v>2022</v>
      </c>
    </row>
    <row r="222" spans="1:16" x14ac:dyDescent="0.25">
      <c r="A222" s="3">
        <v>44873</v>
      </c>
      <c r="B222" s="4" t="s">
        <v>45</v>
      </c>
      <c r="C222" s="5">
        <v>10</v>
      </c>
      <c r="D222" s="5" t="s">
        <v>105</v>
      </c>
      <c r="E222" s="5" t="s">
        <v>106</v>
      </c>
      <c r="F222" s="6">
        <v>0</v>
      </c>
      <c r="G222" s="7" t="str">
        <f>VLOOKUP(InputData[[#This Row],[PRODUCT ID]],MasterData[],2,0)</f>
        <v>Bucket</v>
      </c>
      <c r="H222" s="7" t="str">
        <f>VLOOKUP(InputData[[#This Row],[PRODUCT ID]],MasterData[],3,0)</f>
        <v>Category02</v>
      </c>
      <c r="I222" s="7" t="str">
        <f>VLOOKUP(InputData[[#This Row],[PRODUCT ID]],MasterData[],4,0)</f>
        <v>Ft</v>
      </c>
      <c r="J222" s="7">
        <f>VLOOKUP(InputData[[#This Row],[PRODUCT ID]],MasterData[],5,0)</f>
        <v>150</v>
      </c>
      <c r="K222" s="8">
        <f>VLOOKUP(InputData[[#This Row],[PRODUCT ID]],MasterData[],6,0)</f>
        <v>210</v>
      </c>
      <c r="L222" s="8">
        <f>InputData[[#This Row],[BUYING PRIZE]]*InputData[[#This Row],[QUANTITY]]</f>
        <v>1500</v>
      </c>
      <c r="M222" s="8">
        <f>InputData[[#This Row],[SELLING PRICE]]*InputData[[#This Row],[QUANTITY]]*(1-InputData[[#This Row],[DISCOUNT %]])</f>
        <v>2100</v>
      </c>
      <c r="N222" s="7">
        <f>DAY(InputData[[#This Row],[DATE]])</f>
        <v>8</v>
      </c>
      <c r="O222" s="7" t="str">
        <f>TEXT(InputData[[#This Row],[DATE]],"MMM")</f>
        <v>Nov</v>
      </c>
      <c r="P222" s="7">
        <f>YEAR(InputData[[#This Row],[DATE]])</f>
        <v>2022</v>
      </c>
    </row>
    <row r="223" spans="1:16" x14ac:dyDescent="0.25">
      <c r="A223" s="3">
        <v>44216</v>
      </c>
      <c r="B223" s="4" t="s">
        <v>47</v>
      </c>
      <c r="C223" s="5">
        <v>4</v>
      </c>
      <c r="D223" s="5" t="s">
        <v>108</v>
      </c>
      <c r="E223" s="5" t="s">
        <v>107</v>
      </c>
      <c r="F223" s="6">
        <v>0</v>
      </c>
      <c r="G223" s="7" t="str">
        <f>VLOOKUP(InputData[[#This Row],[PRODUCT ID]],MasterData[],2,0)</f>
        <v>Almond Oil</v>
      </c>
      <c r="H223" s="7" t="str">
        <f>VLOOKUP(InputData[[#This Row],[PRODUCT ID]],MasterData[],3,0)</f>
        <v>Category03</v>
      </c>
      <c r="I223" s="7" t="str">
        <f>VLOOKUP(InputData[[#This Row],[PRODUCT ID]],MasterData[],4,0)</f>
        <v>Lt</v>
      </c>
      <c r="J223" s="7">
        <f>VLOOKUP(InputData[[#This Row],[PRODUCT ID]],MasterData[],5,0)</f>
        <v>61</v>
      </c>
      <c r="K223" s="8">
        <f>VLOOKUP(InputData[[#This Row],[PRODUCT ID]],MasterData[],6,0)</f>
        <v>76.25</v>
      </c>
      <c r="L223" s="8">
        <f>InputData[[#This Row],[BUYING PRIZE]]*InputData[[#This Row],[QUANTITY]]</f>
        <v>244</v>
      </c>
      <c r="M223" s="8">
        <f>InputData[[#This Row],[SELLING PRICE]]*InputData[[#This Row],[QUANTITY]]*(1-InputData[[#This Row],[DISCOUNT %]])</f>
        <v>305</v>
      </c>
      <c r="N223" s="7">
        <f>DAY(InputData[[#This Row],[DATE]])</f>
        <v>20</v>
      </c>
      <c r="O223" s="7" t="str">
        <f>TEXT(InputData[[#This Row],[DATE]],"MMM")</f>
        <v>Jan</v>
      </c>
      <c r="P223" s="7">
        <f>YEAR(InputData[[#This Row],[DATE]])</f>
        <v>2021</v>
      </c>
    </row>
    <row r="224" spans="1:16" x14ac:dyDescent="0.25">
      <c r="A224" s="3">
        <v>44276</v>
      </c>
      <c r="B224" s="4" t="s">
        <v>47</v>
      </c>
      <c r="C224" s="5">
        <v>13</v>
      </c>
      <c r="D224" s="5" t="s">
        <v>106</v>
      </c>
      <c r="E224" s="5" t="s">
        <v>106</v>
      </c>
      <c r="F224" s="6">
        <v>0</v>
      </c>
      <c r="G224" s="7" t="str">
        <f>VLOOKUP(InputData[[#This Row],[PRODUCT ID]],MasterData[],2,0)</f>
        <v>Almond Oil</v>
      </c>
      <c r="H224" s="7" t="str">
        <f>VLOOKUP(InputData[[#This Row],[PRODUCT ID]],MasterData[],3,0)</f>
        <v>Category03</v>
      </c>
      <c r="I224" s="7" t="str">
        <f>VLOOKUP(InputData[[#This Row],[PRODUCT ID]],MasterData[],4,0)</f>
        <v>Lt</v>
      </c>
      <c r="J224" s="7">
        <f>VLOOKUP(InputData[[#This Row],[PRODUCT ID]],MasterData[],5,0)</f>
        <v>61</v>
      </c>
      <c r="K224" s="8">
        <f>VLOOKUP(InputData[[#This Row],[PRODUCT ID]],MasterData[],6,0)</f>
        <v>76.25</v>
      </c>
      <c r="L224" s="8">
        <f>InputData[[#This Row],[BUYING PRIZE]]*InputData[[#This Row],[QUANTITY]]</f>
        <v>793</v>
      </c>
      <c r="M224" s="8">
        <f>InputData[[#This Row],[SELLING PRICE]]*InputData[[#This Row],[QUANTITY]]*(1-InputData[[#This Row],[DISCOUNT %]])</f>
        <v>991.25</v>
      </c>
      <c r="N224" s="7">
        <f>DAY(InputData[[#This Row],[DATE]])</f>
        <v>21</v>
      </c>
      <c r="O224" s="7" t="str">
        <f>TEXT(InputData[[#This Row],[DATE]],"MMM")</f>
        <v>Mar</v>
      </c>
      <c r="P224" s="7">
        <f>YEAR(InputData[[#This Row],[DATE]])</f>
        <v>2021</v>
      </c>
    </row>
    <row r="225" spans="1:16" x14ac:dyDescent="0.25">
      <c r="A225" s="3">
        <v>44351</v>
      </c>
      <c r="B225" s="4" t="s">
        <v>47</v>
      </c>
      <c r="C225" s="5">
        <v>8</v>
      </c>
      <c r="D225" s="5" t="s">
        <v>105</v>
      </c>
      <c r="E225" s="5" t="s">
        <v>106</v>
      </c>
      <c r="F225" s="6">
        <v>0</v>
      </c>
      <c r="G225" s="7" t="str">
        <f>VLOOKUP(InputData[[#This Row],[PRODUCT ID]],MasterData[],2,0)</f>
        <v>Almond Oil</v>
      </c>
      <c r="H225" s="7" t="str">
        <f>VLOOKUP(InputData[[#This Row],[PRODUCT ID]],MasterData[],3,0)</f>
        <v>Category03</v>
      </c>
      <c r="I225" s="7" t="str">
        <f>VLOOKUP(InputData[[#This Row],[PRODUCT ID]],MasterData[],4,0)</f>
        <v>Lt</v>
      </c>
      <c r="J225" s="7">
        <f>VLOOKUP(InputData[[#This Row],[PRODUCT ID]],MasterData[],5,0)</f>
        <v>61</v>
      </c>
      <c r="K225" s="8">
        <f>VLOOKUP(InputData[[#This Row],[PRODUCT ID]],MasterData[],6,0)</f>
        <v>76.25</v>
      </c>
      <c r="L225" s="8">
        <f>InputData[[#This Row],[BUYING PRIZE]]*InputData[[#This Row],[QUANTITY]]</f>
        <v>488</v>
      </c>
      <c r="M225" s="8">
        <f>InputData[[#This Row],[SELLING PRICE]]*InputData[[#This Row],[QUANTITY]]*(1-InputData[[#This Row],[DISCOUNT %]])</f>
        <v>610</v>
      </c>
      <c r="N225" s="7">
        <f>DAY(InputData[[#This Row],[DATE]])</f>
        <v>4</v>
      </c>
      <c r="O225" s="7" t="str">
        <f>TEXT(InputData[[#This Row],[DATE]],"MMM")</f>
        <v>Jun</v>
      </c>
      <c r="P225" s="7">
        <f>YEAR(InputData[[#This Row],[DATE]])</f>
        <v>2021</v>
      </c>
    </row>
    <row r="226" spans="1:16" x14ac:dyDescent="0.25">
      <c r="A226" s="3">
        <v>44351</v>
      </c>
      <c r="B226" s="4" t="s">
        <v>47</v>
      </c>
      <c r="C226" s="5">
        <v>12</v>
      </c>
      <c r="D226" s="5" t="s">
        <v>106</v>
      </c>
      <c r="E226" s="5" t="s">
        <v>107</v>
      </c>
      <c r="F226" s="6">
        <v>0</v>
      </c>
      <c r="G226" s="7" t="str">
        <f>VLOOKUP(InputData[[#This Row],[PRODUCT ID]],MasterData[],2,0)</f>
        <v>Almond Oil</v>
      </c>
      <c r="H226" s="7" t="str">
        <f>VLOOKUP(InputData[[#This Row],[PRODUCT ID]],MasterData[],3,0)</f>
        <v>Category03</v>
      </c>
      <c r="I226" s="7" t="str">
        <f>VLOOKUP(InputData[[#This Row],[PRODUCT ID]],MasterData[],4,0)</f>
        <v>Lt</v>
      </c>
      <c r="J226" s="7">
        <f>VLOOKUP(InputData[[#This Row],[PRODUCT ID]],MasterData[],5,0)</f>
        <v>61</v>
      </c>
      <c r="K226" s="8">
        <f>VLOOKUP(InputData[[#This Row],[PRODUCT ID]],MasterData[],6,0)</f>
        <v>76.25</v>
      </c>
      <c r="L226" s="8">
        <f>InputData[[#This Row],[BUYING PRIZE]]*InputData[[#This Row],[QUANTITY]]</f>
        <v>732</v>
      </c>
      <c r="M226" s="8">
        <f>InputData[[#This Row],[SELLING PRICE]]*InputData[[#This Row],[QUANTITY]]*(1-InputData[[#This Row],[DISCOUNT %]])</f>
        <v>915</v>
      </c>
      <c r="N226" s="7">
        <f>DAY(InputData[[#This Row],[DATE]])</f>
        <v>4</v>
      </c>
      <c r="O226" s="7" t="str">
        <f>TEXT(InputData[[#This Row],[DATE]],"MMM")</f>
        <v>Jun</v>
      </c>
      <c r="P226" s="7">
        <f>YEAR(InputData[[#This Row],[DATE]])</f>
        <v>2021</v>
      </c>
    </row>
    <row r="227" spans="1:16" x14ac:dyDescent="0.25">
      <c r="A227" s="3">
        <v>44428</v>
      </c>
      <c r="B227" s="4" t="s">
        <v>47</v>
      </c>
      <c r="C227" s="5">
        <v>15</v>
      </c>
      <c r="D227" s="5" t="s">
        <v>108</v>
      </c>
      <c r="E227" s="5" t="s">
        <v>107</v>
      </c>
      <c r="F227" s="6">
        <v>0</v>
      </c>
      <c r="G227" s="7" t="str">
        <f>VLOOKUP(InputData[[#This Row],[PRODUCT ID]],MasterData[],2,0)</f>
        <v>Almond Oil</v>
      </c>
      <c r="H227" s="7" t="str">
        <f>VLOOKUP(InputData[[#This Row],[PRODUCT ID]],MasterData[],3,0)</f>
        <v>Category03</v>
      </c>
      <c r="I227" s="7" t="str">
        <f>VLOOKUP(InputData[[#This Row],[PRODUCT ID]],MasterData[],4,0)</f>
        <v>Lt</v>
      </c>
      <c r="J227" s="7">
        <f>VLOOKUP(InputData[[#This Row],[PRODUCT ID]],MasterData[],5,0)</f>
        <v>61</v>
      </c>
      <c r="K227" s="8">
        <f>VLOOKUP(InputData[[#This Row],[PRODUCT ID]],MasterData[],6,0)</f>
        <v>76.25</v>
      </c>
      <c r="L227" s="8">
        <f>InputData[[#This Row],[BUYING PRIZE]]*InputData[[#This Row],[QUANTITY]]</f>
        <v>915</v>
      </c>
      <c r="M227" s="8">
        <f>InputData[[#This Row],[SELLING PRICE]]*InputData[[#This Row],[QUANTITY]]*(1-InputData[[#This Row],[DISCOUNT %]])</f>
        <v>1143.75</v>
      </c>
      <c r="N227" s="7">
        <f>DAY(InputData[[#This Row],[DATE]])</f>
        <v>20</v>
      </c>
      <c r="O227" s="7" t="str">
        <f>TEXT(InputData[[#This Row],[DATE]],"MMM")</f>
        <v>Aug</v>
      </c>
      <c r="P227" s="7">
        <f>YEAR(InputData[[#This Row],[DATE]])</f>
        <v>2021</v>
      </c>
    </row>
    <row r="228" spans="1:16" x14ac:dyDescent="0.25">
      <c r="A228" s="3">
        <v>44460</v>
      </c>
      <c r="B228" s="4" t="s">
        <v>47</v>
      </c>
      <c r="C228" s="5">
        <v>7</v>
      </c>
      <c r="D228" s="5" t="s">
        <v>105</v>
      </c>
      <c r="E228" s="5" t="s">
        <v>107</v>
      </c>
      <c r="F228" s="6">
        <v>0</v>
      </c>
      <c r="G228" s="7" t="str">
        <f>VLOOKUP(InputData[[#This Row],[PRODUCT ID]],MasterData[],2,0)</f>
        <v>Almond Oil</v>
      </c>
      <c r="H228" s="7" t="str">
        <f>VLOOKUP(InputData[[#This Row],[PRODUCT ID]],MasterData[],3,0)</f>
        <v>Category03</v>
      </c>
      <c r="I228" s="7" t="str">
        <f>VLOOKUP(InputData[[#This Row],[PRODUCT ID]],MasterData[],4,0)</f>
        <v>Lt</v>
      </c>
      <c r="J228" s="7">
        <f>VLOOKUP(InputData[[#This Row],[PRODUCT ID]],MasterData[],5,0)</f>
        <v>61</v>
      </c>
      <c r="K228" s="8">
        <f>VLOOKUP(InputData[[#This Row],[PRODUCT ID]],MasterData[],6,0)</f>
        <v>76.25</v>
      </c>
      <c r="L228" s="8">
        <f>InputData[[#This Row],[BUYING PRIZE]]*InputData[[#This Row],[QUANTITY]]</f>
        <v>427</v>
      </c>
      <c r="M228" s="8">
        <f>InputData[[#This Row],[SELLING PRICE]]*InputData[[#This Row],[QUANTITY]]*(1-InputData[[#This Row],[DISCOUNT %]])</f>
        <v>533.75</v>
      </c>
      <c r="N228" s="7">
        <f>DAY(InputData[[#This Row],[DATE]])</f>
        <v>21</v>
      </c>
      <c r="O228" s="7" t="str">
        <f>TEXT(InputData[[#This Row],[DATE]],"MMM")</f>
        <v>Sep</v>
      </c>
      <c r="P228" s="7">
        <f>YEAR(InputData[[#This Row],[DATE]])</f>
        <v>2021</v>
      </c>
    </row>
    <row r="229" spans="1:16" x14ac:dyDescent="0.25">
      <c r="A229" s="3">
        <v>44685</v>
      </c>
      <c r="B229" s="4" t="s">
        <v>47</v>
      </c>
      <c r="C229" s="5">
        <v>10</v>
      </c>
      <c r="D229" s="5" t="s">
        <v>108</v>
      </c>
      <c r="E229" s="5" t="s">
        <v>106</v>
      </c>
      <c r="F229" s="6">
        <v>0</v>
      </c>
      <c r="G229" s="7" t="str">
        <f>VLOOKUP(InputData[[#This Row],[PRODUCT ID]],MasterData[],2,0)</f>
        <v>Almond Oil</v>
      </c>
      <c r="H229" s="7" t="str">
        <f>VLOOKUP(InputData[[#This Row],[PRODUCT ID]],MasterData[],3,0)</f>
        <v>Category03</v>
      </c>
      <c r="I229" s="7" t="str">
        <f>VLOOKUP(InputData[[#This Row],[PRODUCT ID]],MasterData[],4,0)</f>
        <v>Lt</v>
      </c>
      <c r="J229" s="7">
        <f>VLOOKUP(InputData[[#This Row],[PRODUCT ID]],MasterData[],5,0)</f>
        <v>61</v>
      </c>
      <c r="K229" s="8">
        <f>VLOOKUP(InputData[[#This Row],[PRODUCT ID]],MasterData[],6,0)</f>
        <v>76.25</v>
      </c>
      <c r="L229" s="8">
        <f>InputData[[#This Row],[BUYING PRIZE]]*InputData[[#This Row],[QUANTITY]]</f>
        <v>610</v>
      </c>
      <c r="M229" s="8">
        <f>InputData[[#This Row],[SELLING PRICE]]*InputData[[#This Row],[QUANTITY]]*(1-InputData[[#This Row],[DISCOUNT %]])</f>
        <v>762.5</v>
      </c>
      <c r="N229" s="7">
        <f>DAY(InputData[[#This Row],[DATE]])</f>
        <v>4</v>
      </c>
      <c r="O229" s="7" t="str">
        <f>TEXT(InputData[[#This Row],[DATE]],"MMM")</f>
        <v>May</v>
      </c>
      <c r="P229" s="7">
        <f>YEAR(InputData[[#This Row],[DATE]])</f>
        <v>2022</v>
      </c>
    </row>
    <row r="230" spans="1:16" x14ac:dyDescent="0.25">
      <c r="A230" s="3">
        <v>44696</v>
      </c>
      <c r="B230" s="4" t="s">
        <v>47</v>
      </c>
      <c r="C230" s="5">
        <v>5</v>
      </c>
      <c r="D230" s="5" t="s">
        <v>106</v>
      </c>
      <c r="E230" s="5" t="s">
        <v>106</v>
      </c>
      <c r="F230" s="6">
        <v>0</v>
      </c>
      <c r="G230" s="7" t="str">
        <f>VLOOKUP(InputData[[#This Row],[PRODUCT ID]],MasterData[],2,0)</f>
        <v>Almond Oil</v>
      </c>
      <c r="H230" s="7" t="str">
        <f>VLOOKUP(InputData[[#This Row],[PRODUCT ID]],MasterData[],3,0)</f>
        <v>Category03</v>
      </c>
      <c r="I230" s="7" t="str">
        <f>VLOOKUP(InputData[[#This Row],[PRODUCT ID]],MasterData[],4,0)</f>
        <v>Lt</v>
      </c>
      <c r="J230" s="7">
        <f>VLOOKUP(InputData[[#This Row],[PRODUCT ID]],MasterData[],5,0)</f>
        <v>61</v>
      </c>
      <c r="K230" s="8">
        <f>VLOOKUP(InputData[[#This Row],[PRODUCT ID]],MasterData[],6,0)</f>
        <v>76.25</v>
      </c>
      <c r="L230" s="8">
        <f>InputData[[#This Row],[BUYING PRIZE]]*InputData[[#This Row],[QUANTITY]]</f>
        <v>305</v>
      </c>
      <c r="M230" s="8">
        <f>InputData[[#This Row],[SELLING PRICE]]*InputData[[#This Row],[QUANTITY]]*(1-InputData[[#This Row],[DISCOUNT %]])</f>
        <v>381.25</v>
      </c>
      <c r="N230" s="7">
        <f>DAY(InputData[[#This Row],[DATE]])</f>
        <v>15</v>
      </c>
      <c r="O230" s="7" t="str">
        <f>TEXT(InputData[[#This Row],[DATE]],"MMM")</f>
        <v>May</v>
      </c>
      <c r="P230" s="7">
        <f>YEAR(InputData[[#This Row],[DATE]])</f>
        <v>2022</v>
      </c>
    </row>
    <row r="231" spans="1:16" x14ac:dyDescent="0.25">
      <c r="A231" s="3">
        <v>44709</v>
      </c>
      <c r="B231" s="4" t="s">
        <v>47</v>
      </c>
      <c r="C231" s="5">
        <v>14</v>
      </c>
      <c r="D231" s="5" t="s">
        <v>108</v>
      </c>
      <c r="E231" s="5" t="s">
        <v>107</v>
      </c>
      <c r="F231" s="6">
        <v>0</v>
      </c>
      <c r="G231" s="7" t="str">
        <f>VLOOKUP(InputData[[#This Row],[PRODUCT ID]],MasterData[],2,0)</f>
        <v>Almond Oil</v>
      </c>
      <c r="H231" s="7" t="str">
        <f>VLOOKUP(InputData[[#This Row],[PRODUCT ID]],MasterData[],3,0)</f>
        <v>Category03</v>
      </c>
      <c r="I231" s="7" t="str">
        <f>VLOOKUP(InputData[[#This Row],[PRODUCT ID]],MasterData[],4,0)</f>
        <v>Lt</v>
      </c>
      <c r="J231" s="7">
        <f>VLOOKUP(InputData[[#This Row],[PRODUCT ID]],MasterData[],5,0)</f>
        <v>61</v>
      </c>
      <c r="K231" s="8">
        <f>VLOOKUP(InputData[[#This Row],[PRODUCT ID]],MasterData[],6,0)</f>
        <v>76.25</v>
      </c>
      <c r="L231" s="8">
        <f>InputData[[#This Row],[BUYING PRIZE]]*InputData[[#This Row],[QUANTITY]]</f>
        <v>854</v>
      </c>
      <c r="M231" s="8">
        <f>InputData[[#This Row],[SELLING PRICE]]*InputData[[#This Row],[QUANTITY]]*(1-InputData[[#This Row],[DISCOUNT %]])</f>
        <v>1067.5</v>
      </c>
      <c r="N231" s="7">
        <f>DAY(InputData[[#This Row],[DATE]])</f>
        <v>28</v>
      </c>
      <c r="O231" s="7" t="str">
        <f>TEXT(InputData[[#This Row],[DATE]],"MMM")</f>
        <v>May</v>
      </c>
      <c r="P231" s="7">
        <f>YEAR(InputData[[#This Row],[DATE]])</f>
        <v>2022</v>
      </c>
    </row>
    <row r="232" spans="1:16" x14ac:dyDescent="0.25">
      <c r="A232" s="3">
        <v>44868</v>
      </c>
      <c r="B232" s="4" t="s">
        <v>47</v>
      </c>
      <c r="C232" s="5">
        <v>11</v>
      </c>
      <c r="D232" s="5" t="s">
        <v>106</v>
      </c>
      <c r="E232" s="5" t="s">
        <v>106</v>
      </c>
      <c r="F232" s="6">
        <v>0</v>
      </c>
      <c r="G232" s="7" t="str">
        <f>VLOOKUP(InputData[[#This Row],[PRODUCT ID]],MasterData[],2,0)</f>
        <v>Almond Oil</v>
      </c>
      <c r="H232" s="7" t="str">
        <f>VLOOKUP(InputData[[#This Row],[PRODUCT ID]],MasterData[],3,0)</f>
        <v>Category03</v>
      </c>
      <c r="I232" s="7" t="str">
        <f>VLOOKUP(InputData[[#This Row],[PRODUCT ID]],MasterData[],4,0)</f>
        <v>Lt</v>
      </c>
      <c r="J232" s="7">
        <f>VLOOKUP(InputData[[#This Row],[PRODUCT ID]],MasterData[],5,0)</f>
        <v>61</v>
      </c>
      <c r="K232" s="8">
        <f>VLOOKUP(InputData[[#This Row],[PRODUCT ID]],MasterData[],6,0)</f>
        <v>76.25</v>
      </c>
      <c r="L232" s="8">
        <f>InputData[[#This Row],[BUYING PRIZE]]*InputData[[#This Row],[QUANTITY]]</f>
        <v>671</v>
      </c>
      <c r="M232" s="8">
        <f>InputData[[#This Row],[SELLING PRICE]]*InputData[[#This Row],[QUANTITY]]*(1-InputData[[#This Row],[DISCOUNT %]])</f>
        <v>838.75</v>
      </c>
      <c r="N232" s="7">
        <f>DAY(InputData[[#This Row],[DATE]])</f>
        <v>3</v>
      </c>
      <c r="O232" s="7" t="str">
        <f>TEXT(InputData[[#This Row],[DATE]],"MMM")</f>
        <v>Nov</v>
      </c>
      <c r="P232" s="7">
        <f>YEAR(InputData[[#This Row],[DATE]])</f>
        <v>2022</v>
      </c>
    </row>
    <row r="233" spans="1:16" x14ac:dyDescent="0.25">
      <c r="A233" s="3">
        <v>44886</v>
      </c>
      <c r="B233" s="4" t="s">
        <v>47</v>
      </c>
      <c r="C233" s="5">
        <v>6</v>
      </c>
      <c r="D233" s="5" t="s">
        <v>108</v>
      </c>
      <c r="E233" s="5" t="s">
        <v>107</v>
      </c>
      <c r="F233" s="6">
        <v>0</v>
      </c>
      <c r="G233" s="7" t="str">
        <f>VLOOKUP(InputData[[#This Row],[PRODUCT ID]],MasterData[],2,0)</f>
        <v>Almond Oil</v>
      </c>
      <c r="H233" s="7" t="str">
        <f>VLOOKUP(InputData[[#This Row],[PRODUCT ID]],MasterData[],3,0)</f>
        <v>Category03</v>
      </c>
      <c r="I233" s="7" t="str">
        <f>VLOOKUP(InputData[[#This Row],[PRODUCT ID]],MasterData[],4,0)</f>
        <v>Lt</v>
      </c>
      <c r="J233" s="7">
        <f>VLOOKUP(InputData[[#This Row],[PRODUCT ID]],MasterData[],5,0)</f>
        <v>61</v>
      </c>
      <c r="K233" s="8">
        <f>VLOOKUP(InputData[[#This Row],[PRODUCT ID]],MasterData[],6,0)</f>
        <v>76.25</v>
      </c>
      <c r="L233" s="8">
        <f>InputData[[#This Row],[BUYING PRIZE]]*InputData[[#This Row],[QUANTITY]]</f>
        <v>366</v>
      </c>
      <c r="M233" s="8">
        <f>InputData[[#This Row],[SELLING PRICE]]*InputData[[#This Row],[QUANTITY]]*(1-InputData[[#This Row],[DISCOUNT %]])</f>
        <v>457.5</v>
      </c>
      <c r="N233" s="7">
        <f>DAY(InputData[[#This Row],[DATE]])</f>
        <v>21</v>
      </c>
      <c r="O233" s="7" t="str">
        <f>TEXT(InputData[[#This Row],[DATE]],"MMM")</f>
        <v>Nov</v>
      </c>
      <c r="P233" s="7">
        <f>YEAR(InputData[[#This Row],[DATE]])</f>
        <v>2022</v>
      </c>
    </row>
    <row r="234" spans="1:16" x14ac:dyDescent="0.25">
      <c r="A234" s="3">
        <v>44262</v>
      </c>
      <c r="B234" s="4" t="s">
        <v>50</v>
      </c>
      <c r="C234" s="5">
        <v>9</v>
      </c>
      <c r="D234" s="5" t="s">
        <v>108</v>
      </c>
      <c r="E234" s="5" t="s">
        <v>107</v>
      </c>
      <c r="F234" s="6">
        <v>0</v>
      </c>
      <c r="G234" s="7" t="str">
        <f>VLOOKUP(InputData[[#This Row],[PRODUCT ID]],MasterData[],2,0)</f>
        <v>Soap</v>
      </c>
      <c r="H234" s="7" t="str">
        <f>VLOOKUP(InputData[[#This Row],[PRODUCT ID]],MasterData[],3,0)</f>
        <v>Category03</v>
      </c>
      <c r="I234" s="7" t="str">
        <f>VLOOKUP(InputData[[#This Row],[PRODUCT ID]],MasterData[],4,0)</f>
        <v>Ft</v>
      </c>
      <c r="J234" s="7">
        <f>VLOOKUP(InputData[[#This Row],[PRODUCT ID]],MasterData[],5,0)</f>
        <v>126</v>
      </c>
      <c r="K234" s="8">
        <f>VLOOKUP(InputData[[#This Row],[PRODUCT ID]],MasterData[],6,0)</f>
        <v>162.54</v>
      </c>
      <c r="L234" s="8">
        <f>InputData[[#This Row],[BUYING PRIZE]]*InputData[[#This Row],[QUANTITY]]</f>
        <v>1134</v>
      </c>
      <c r="M234" s="8">
        <f>InputData[[#This Row],[SELLING PRICE]]*InputData[[#This Row],[QUANTITY]]*(1-InputData[[#This Row],[DISCOUNT %]])</f>
        <v>1462.86</v>
      </c>
      <c r="N234" s="7">
        <f>DAY(InputData[[#This Row],[DATE]])</f>
        <v>7</v>
      </c>
      <c r="O234" s="7" t="str">
        <f>TEXT(InputData[[#This Row],[DATE]],"MMM")</f>
        <v>Mar</v>
      </c>
      <c r="P234" s="7">
        <f>YEAR(InputData[[#This Row],[DATE]])</f>
        <v>2021</v>
      </c>
    </row>
    <row r="235" spans="1:16" x14ac:dyDescent="0.25">
      <c r="A235" s="3">
        <v>44350</v>
      </c>
      <c r="B235" s="4" t="s">
        <v>50</v>
      </c>
      <c r="C235" s="5">
        <v>10</v>
      </c>
      <c r="D235" s="5" t="s">
        <v>108</v>
      </c>
      <c r="E235" s="5" t="s">
        <v>107</v>
      </c>
      <c r="F235" s="6">
        <v>0</v>
      </c>
      <c r="G235" s="7" t="str">
        <f>VLOOKUP(InputData[[#This Row],[PRODUCT ID]],MasterData[],2,0)</f>
        <v>Soap</v>
      </c>
      <c r="H235" s="7" t="str">
        <f>VLOOKUP(InputData[[#This Row],[PRODUCT ID]],MasterData[],3,0)</f>
        <v>Category03</v>
      </c>
      <c r="I235" s="7" t="str">
        <f>VLOOKUP(InputData[[#This Row],[PRODUCT ID]],MasterData[],4,0)</f>
        <v>Ft</v>
      </c>
      <c r="J235" s="7">
        <f>VLOOKUP(InputData[[#This Row],[PRODUCT ID]],MasterData[],5,0)</f>
        <v>126</v>
      </c>
      <c r="K235" s="8">
        <f>VLOOKUP(InputData[[#This Row],[PRODUCT ID]],MasterData[],6,0)</f>
        <v>162.54</v>
      </c>
      <c r="L235" s="8">
        <f>InputData[[#This Row],[BUYING PRIZE]]*InputData[[#This Row],[QUANTITY]]</f>
        <v>1260</v>
      </c>
      <c r="M235" s="8">
        <f>InputData[[#This Row],[SELLING PRICE]]*InputData[[#This Row],[QUANTITY]]*(1-InputData[[#This Row],[DISCOUNT %]])</f>
        <v>1625.3999999999999</v>
      </c>
      <c r="N235" s="7">
        <f>DAY(InputData[[#This Row],[DATE]])</f>
        <v>3</v>
      </c>
      <c r="O235" s="7" t="str">
        <f>TEXT(InputData[[#This Row],[DATE]],"MMM")</f>
        <v>Jun</v>
      </c>
      <c r="P235" s="7">
        <f>YEAR(InputData[[#This Row],[DATE]])</f>
        <v>2021</v>
      </c>
    </row>
    <row r="236" spans="1:16" x14ac:dyDescent="0.25">
      <c r="A236" s="3">
        <v>44375</v>
      </c>
      <c r="B236" s="4" t="s">
        <v>50</v>
      </c>
      <c r="C236" s="5">
        <v>2</v>
      </c>
      <c r="D236" s="5" t="s">
        <v>106</v>
      </c>
      <c r="E236" s="5" t="s">
        <v>107</v>
      </c>
      <c r="F236" s="6">
        <v>0</v>
      </c>
      <c r="G236" s="7" t="str">
        <f>VLOOKUP(InputData[[#This Row],[PRODUCT ID]],MasterData[],2,0)</f>
        <v>Soap</v>
      </c>
      <c r="H236" s="7" t="str">
        <f>VLOOKUP(InputData[[#This Row],[PRODUCT ID]],MasterData[],3,0)</f>
        <v>Category03</v>
      </c>
      <c r="I236" s="7" t="str">
        <f>VLOOKUP(InputData[[#This Row],[PRODUCT ID]],MasterData[],4,0)</f>
        <v>Ft</v>
      </c>
      <c r="J236" s="7">
        <f>VLOOKUP(InputData[[#This Row],[PRODUCT ID]],MasterData[],5,0)</f>
        <v>126</v>
      </c>
      <c r="K236" s="8">
        <f>VLOOKUP(InputData[[#This Row],[PRODUCT ID]],MasterData[],6,0)</f>
        <v>162.54</v>
      </c>
      <c r="L236" s="8">
        <f>InputData[[#This Row],[BUYING PRIZE]]*InputData[[#This Row],[QUANTITY]]</f>
        <v>252</v>
      </c>
      <c r="M236" s="8">
        <f>InputData[[#This Row],[SELLING PRICE]]*InputData[[#This Row],[QUANTITY]]*(1-InputData[[#This Row],[DISCOUNT %]])</f>
        <v>325.08</v>
      </c>
      <c r="N236" s="7">
        <f>DAY(InputData[[#This Row],[DATE]])</f>
        <v>28</v>
      </c>
      <c r="O236" s="7" t="str">
        <f>TEXT(InputData[[#This Row],[DATE]],"MMM")</f>
        <v>Jun</v>
      </c>
      <c r="P236" s="7">
        <f>YEAR(InputData[[#This Row],[DATE]])</f>
        <v>2021</v>
      </c>
    </row>
    <row r="237" spans="1:16" x14ac:dyDescent="0.25">
      <c r="A237" s="3">
        <v>44462</v>
      </c>
      <c r="B237" s="4" t="s">
        <v>50</v>
      </c>
      <c r="C237" s="5">
        <v>7</v>
      </c>
      <c r="D237" s="5" t="s">
        <v>106</v>
      </c>
      <c r="E237" s="5" t="s">
        <v>106</v>
      </c>
      <c r="F237" s="6">
        <v>0</v>
      </c>
      <c r="G237" s="7" t="str">
        <f>VLOOKUP(InputData[[#This Row],[PRODUCT ID]],MasterData[],2,0)</f>
        <v>Soap</v>
      </c>
      <c r="H237" s="7" t="str">
        <f>VLOOKUP(InputData[[#This Row],[PRODUCT ID]],MasterData[],3,0)</f>
        <v>Category03</v>
      </c>
      <c r="I237" s="7" t="str">
        <f>VLOOKUP(InputData[[#This Row],[PRODUCT ID]],MasterData[],4,0)</f>
        <v>Ft</v>
      </c>
      <c r="J237" s="7">
        <f>VLOOKUP(InputData[[#This Row],[PRODUCT ID]],MasterData[],5,0)</f>
        <v>126</v>
      </c>
      <c r="K237" s="8">
        <f>VLOOKUP(InputData[[#This Row],[PRODUCT ID]],MasterData[],6,0)</f>
        <v>162.54</v>
      </c>
      <c r="L237" s="8">
        <f>InputData[[#This Row],[BUYING PRIZE]]*InputData[[#This Row],[QUANTITY]]</f>
        <v>882</v>
      </c>
      <c r="M237" s="8">
        <f>InputData[[#This Row],[SELLING PRICE]]*InputData[[#This Row],[QUANTITY]]*(1-InputData[[#This Row],[DISCOUNT %]])</f>
        <v>1137.78</v>
      </c>
      <c r="N237" s="7">
        <f>DAY(InputData[[#This Row],[DATE]])</f>
        <v>23</v>
      </c>
      <c r="O237" s="7" t="str">
        <f>TEXT(InputData[[#This Row],[DATE]],"MMM")</f>
        <v>Sep</v>
      </c>
      <c r="P237" s="7">
        <f>YEAR(InputData[[#This Row],[DATE]])</f>
        <v>2021</v>
      </c>
    </row>
    <row r="238" spans="1:16" x14ac:dyDescent="0.25">
      <c r="A238" s="3">
        <v>44487</v>
      </c>
      <c r="B238" s="4" t="s">
        <v>50</v>
      </c>
      <c r="C238" s="5">
        <v>13</v>
      </c>
      <c r="D238" s="5" t="s">
        <v>106</v>
      </c>
      <c r="E238" s="5" t="s">
        <v>107</v>
      </c>
      <c r="F238" s="6">
        <v>0</v>
      </c>
      <c r="G238" s="7" t="str">
        <f>VLOOKUP(InputData[[#This Row],[PRODUCT ID]],MasterData[],2,0)</f>
        <v>Soap</v>
      </c>
      <c r="H238" s="7" t="str">
        <f>VLOOKUP(InputData[[#This Row],[PRODUCT ID]],MasterData[],3,0)</f>
        <v>Category03</v>
      </c>
      <c r="I238" s="7" t="str">
        <f>VLOOKUP(InputData[[#This Row],[PRODUCT ID]],MasterData[],4,0)</f>
        <v>Ft</v>
      </c>
      <c r="J238" s="7">
        <f>VLOOKUP(InputData[[#This Row],[PRODUCT ID]],MasterData[],5,0)</f>
        <v>126</v>
      </c>
      <c r="K238" s="8">
        <f>VLOOKUP(InputData[[#This Row],[PRODUCT ID]],MasterData[],6,0)</f>
        <v>162.54</v>
      </c>
      <c r="L238" s="8">
        <f>InputData[[#This Row],[BUYING PRIZE]]*InputData[[#This Row],[QUANTITY]]</f>
        <v>1638</v>
      </c>
      <c r="M238" s="8">
        <f>InputData[[#This Row],[SELLING PRICE]]*InputData[[#This Row],[QUANTITY]]*(1-InputData[[#This Row],[DISCOUNT %]])</f>
        <v>2113.02</v>
      </c>
      <c r="N238" s="7">
        <f>DAY(InputData[[#This Row],[DATE]])</f>
        <v>18</v>
      </c>
      <c r="O238" s="7" t="str">
        <f>TEXT(InputData[[#This Row],[DATE]],"MMM")</f>
        <v>Oct</v>
      </c>
      <c r="P238" s="7">
        <f>YEAR(InputData[[#This Row],[DATE]])</f>
        <v>2021</v>
      </c>
    </row>
    <row r="239" spans="1:16" x14ac:dyDescent="0.25">
      <c r="A239" s="3">
        <v>44500</v>
      </c>
      <c r="B239" s="4" t="s">
        <v>50</v>
      </c>
      <c r="C239" s="5">
        <v>6</v>
      </c>
      <c r="D239" s="5" t="s">
        <v>106</v>
      </c>
      <c r="E239" s="5" t="s">
        <v>107</v>
      </c>
      <c r="F239" s="6">
        <v>0</v>
      </c>
      <c r="G239" s="7" t="str">
        <f>VLOOKUP(InputData[[#This Row],[PRODUCT ID]],MasterData[],2,0)</f>
        <v>Soap</v>
      </c>
      <c r="H239" s="7" t="str">
        <f>VLOOKUP(InputData[[#This Row],[PRODUCT ID]],MasterData[],3,0)</f>
        <v>Category03</v>
      </c>
      <c r="I239" s="7" t="str">
        <f>VLOOKUP(InputData[[#This Row],[PRODUCT ID]],MasterData[],4,0)</f>
        <v>Ft</v>
      </c>
      <c r="J239" s="7">
        <f>VLOOKUP(InputData[[#This Row],[PRODUCT ID]],MasterData[],5,0)</f>
        <v>126</v>
      </c>
      <c r="K239" s="8">
        <f>VLOOKUP(InputData[[#This Row],[PRODUCT ID]],MasterData[],6,0)</f>
        <v>162.54</v>
      </c>
      <c r="L239" s="8">
        <f>InputData[[#This Row],[BUYING PRIZE]]*InputData[[#This Row],[QUANTITY]]</f>
        <v>756</v>
      </c>
      <c r="M239" s="8">
        <f>InputData[[#This Row],[SELLING PRICE]]*InputData[[#This Row],[QUANTITY]]*(1-InputData[[#This Row],[DISCOUNT %]])</f>
        <v>975.24</v>
      </c>
      <c r="N239" s="7">
        <f>DAY(InputData[[#This Row],[DATE]])</f>
        <v>31</v>
      </c>
      <c r="O239" s="7" t="str">
        <f>TEXT(InputData[[#This Row],[DATE]],"MMM")</f>
        <v>Oct</v>
      </c>
      <c r="P239" s="7">
        <f>YEAR(InputData[[#This Row],[DATE]])</f>
        <v>2021</v>
      </c>
    </row>
    <row r="240" spans="1:16" x14ac:dyDescent="0.25">
      <c r="A240" s="3">
        <v>44581</v>
      </c>
      <c r="B240" s="4" t="s">
        <v>50</v>
      </c>
      <c r="C240" s="5">
        <v>2</v>
      </c>
      <c r="D240" s="5" t="s">
        <v>108</v>
      </c>
      <c r="E240" s="5" t="s">
        <v>107</v>
      </c>
      <c r="F240" s="6">
        <v>0</v>
      </c>
      <c r="G240" s="7" t="str">
        <f>VLOOKUP(InputData[[#This Row],[PRODUCT ID]],MasterData[],2,0)</f>
        <v>Soap</v>
      </c>
      <c r="H240" s="7" t="str">
        <f>VLOOKUP(InputData[[#This Row],[PRODUCT ID]],MasterData[],3,0)</f>
        <v>Category03</v>
      </c>
      <c r="I240" s="7" t="str">
        <f>VLOOKUP(InputData[[#This Row],[PRODUCT ID]],MasterData[],4,0)</f>
        <v>Ft</v>
      </c>
      <c r="J240" s="7">
        <f>VLOOKUP(InputData[[#This Row],[PRODUCT ID]],MasterData[],5,0)</f>
        <v>126</v>
      </c>
      <c r="K240" s="8">
        <f>VLOOKUP(InputData[[#This Row],[PRODUCT ID]],MasterData[],6,0)</f>
        <v>162.54</v>
      </c>
      <c r="L240" s="8">
        <f>InputData[[#This Row],[BUYING PRIZE]]*InputData[[#This Row],[QUANTITY]]</f>
        <v>252</v>
      </c>
      <c r="M240" s="8">
        <f>InputData[[#This Row],[SELLING PRICE]]*InputData[[#This Row],[QUANTITY]]*(1-InputData[[#This Row],[DISCOUNT %]])</f>
        <v>325.08</v>
      </c>
      <c r="N240" s="7">
        <f>DAY(InputData[[#This Row],[DATE]])</f>
        <v>20</v>
      </c>
      <c r="O240" s="7" t="str">
        <f>TEXT(InputData[[#This Row],[DATE]],"MMM")</f>
        <v>Jan</v>
      </c>
      <c r="P240" s="7">
        <f>YEAR(InputData[[#This Row],[DATE]])</f>
        <v>2022</v>
      </c>
    </row>
    <row r="241" spans="1:16" x14ac:dyDescent="0.25">
      <c r="A241" s="3">
        <v>44723</v>
      </c>
      <c r="B241" s="4" t="s">
        <v>50</v>
      </c>
      <c r="C241" s="5">
        <v>6</v>
      </c>
      <c r="D241" s="5" t="s">
        <v>108</v>
      </c>
      <c r="E241" s="5" t="s">
        <v>106</v>
      </c>
      <c r="F241" s="6">
        <v>0</v>
      </c>
      <c r="G241" s="7" t="str">
        <f>VLOOKUP(InputData[[#This Row],[PRODUCT ID]],MasterData[],2,0)</f>
        <v>Soap</v>
      </c>
      <c r="H241" s="7" t="str">
        <f>VLOOKUP(InputData[[#This Row],[PRODUCT ID]],MasterData[],3,0)</f>
        <v>Category03</v>
      </c>
      <c r="I241" s="7" t="str">
        <f>VLOOKUP(InputData[[#This Row],[PRODUCT ID]],MasterData[],4,0)</f>
        <v>Ft</v>
      </c>
      <c r="J241" s="7">
        <f>VLOOKUP(InputData[[#This Row],[PRODUCT ID]],MasterData[],5,0)</f>
        <v>126</v>
      </c>
      <c r="K241" s="8">
        <f>VLOOKUP(InputData[[#This Row],[PRODUCT ID]],MasterData[],6,0)</f>
        <v>162.54</v>
      </c>
      <c r="L241" s="8">
        <f>InputData[[#This Row],[BUYING PRIZE]]*InputData[[#This Row],[QUANTITY]]</f>
        <v>756</v>
      </c>
      <c r="M241" s="8">
        <f>InputData[[#This Row],[SELLING PRICE]]*InputData[[#This Row],[QUANTITY]]*(1-InputData[[#This Row],[DISCOUNT %]])</f>
        <v>975.24</v>
      </c>
      <c r="N241" s="7">
        <f>DAY(InputData[[#This Row],[DATE]])</f>
        <v>11</v>
      </c>
      <c r="O241" s="7" t="str">
        <f>TEXT(InputData[[#This Row],[DATE]],"MMM")</f>
        <v>Jun</v>
      </c>
      <c r="P241" s="7">
        <f>YEAR(InputData[[#This Row],[DATE]])</f>
        <v>2022</v>
      </c>
    </row>
    <row r="242" spans="1:16" x14ac:dyDescent="0.25">
      <c r="A242" s="3">
        <v>44781</v>
      </c>
      <c r="B242" s="4" t="s">
        <v>50</v>
      </c>
      <c r="C242" s="5">
        <v>11</v>
      </c>
      <c r="D242" s="5" t="s">
        <v>108</v>
      </c>
      <c r="E242" s="5" t="s">
        <v>107</v>
      </c>
      <c r="F242" s="6">
        <v>0</v>
      </c>
      <c r="G242" s="7" t="str">
        <f>VLOOKUP(InputData[[#This Row],[PRODUCT ID]],MasterData[],2,0)</f>
        <v>Soap</v>
      </c>
      <c r="H242" s="7" t="str">
        <f>VLOOKUP(InputData[[#This Row],[PRODUCT ID]],MasterData[],3,0)</f>
        <v>Category03</v>
      </c>
      <c r="I242" s="7" t="str">
        <f>VLOOKUP(InputData[[#This Row],[PRODUCT ID]],MasterData[],4,0)</f>
        <v>Ft</v>
      </c>
      <c r="J242" s="7">
        <f>VLOOKUP(InputData[[#This Row],[PRODUCT ID]],MasterData[],5,0)</f>
        <v>126</v>
      </c>
      <c r="K242" s="8">
        <f>VLOOKUP(InputData[[#This Row],[PRODUCT ID]],MasterData[],6,0)</f>
        <v>162.54</v>
      </c>
      <c r="L242" s="8">
        <f>InputData[[#This Row],[BUYING PRIZE]]*InputData[[#This Row],[QUANTITY]]</f>
        <v>1386</v>
      </c>
      <c r="M242" s="8">
        <f>InputData[[#This Row],[SELLING PRICE]]*InputData[[#This Row],[QUANTITY]]*(1-InputData[[#This Row],[DISCOUNT %]])</f>
        <v>1787.9399999999998</v>
      </c>
      <c r="N242" s="7">
        <f>DAY(InputData[[#This Row],[DATE]])</f>
        <v>8</v>
      </c>
      <c r="O242" s="7" t="str">
        <f>TEXT(InputData[[#This Row],[DATE]],"MMM")</f>
        <v>Aug</v>
      </c>
      <c r="P242" s="7">
        <f>YEAR(InputData[[#This Row],[DATE]])</f>
        <v>2022</v>
      </c>
    </row>
    <row r="243" spans="1:16" x14ac:dyDescent="0.25">
      <c r="A243" s="3">
        <v>44230</v>
      </c>
      <c r="B243" s="4" t="s">
        <v>52</v>
      </c>
      <c r="C243" s="5">
        <v>2</v>
      </c>
      <c r="D243" s="5" t="s">
        <v>105</v>
      </c>
      <c r="E243" s="5" t="s">
        <v>107</v>
      </c>
      <c r="F243" s="6">
        <v>0</v>
      </c>
      <c r="G243" s="7" t="str">
        <f>VLOOKUP(InputData[[#This Row],[PRODUCT ID]],MasterData[],2,0)</f>
        <v>Washing soap</v>
      </c>
      <c r="H243" s="7" t="str">
        <f>VLOOKUP(InputData[[#This Row],[PRODUCT ID]],MasterData[],3,0)</f>
        <v>Category03</v>
      </c>
      <c r="I243" s="7" t="str">
        <f>VLOOKUP(InputData[[#This Row],[PRODUCT ID]],MasterData[],4,0)</f>
        <v>Ft</v>
      </c>
      <c r="J243" s="7">
        <f>VLOOKUP(InputData[[#This Row],[PRODUCT ID]],MasterData[],5,0)</f>
        <v>121</v>
      </c>
      <c r="K243" s="8">
        <f>VLOOKUP(InputData[[#This Row],[PRODUCT ID]],MasterData[],6,0)</f>
        <v>141.57</v>
      </c>
      <c r="L243" s="8">
        <f>InputData[[#This Row],[BUYING PRIZE]]*InputData[[#This Row],[QUANTITY]]</f>
        <v>242</v>
      </c>
      <c r="M243" s="8">
        <f>InputData[[#This Row],[SELLING PRICE]]*InputData[[#This Row],[QUANTITY]]*(1-InputData[[#This Row],[DISCOUNT %]])</f>
        <v>283.14</v>
      </c>
      <c r="N243" s="7">
        <f>DAY(InputData[[#This Row],[DATE]])</f>
        <v>3</v>
      </c>
      <c r="O243" s="7" t="str">
        <f>TEXT(InputData[[#This Row],[DATE]],"MMM")</f>
        <v>Feb</v>
      </c>
      <c r="P243" s="7">
        <f>YEAR(InputData[[#This Row],[DATE]])</f>
        <v>2021</v>
      </c>
    </row>
    <row r="244" spans="1:16" x14ac:dyDescent="0.25">
      <c r="A244" s="3">
        <v>44296</v>
      </c>
      <c r="B244" s="4" t="s">
        <v>52</v>
      </c>
      <c r="C244" s="5">
        <v>14</v>
      </c>
      <c r="D244" s="5" t="s">
        <v>108</v>
      </c>
      <c r="E244" s="5" t="s">
        <v>106</v>
      </c>
      <c r="F244" s="6">
        <v>0</v>
      </c>
      <c r="G244" s="7" t="str">
        <f>VLOOKUP(InputData[[#This Row],[PRODUCT ID]],MasterData[],2,0)</f>
        <v>Washing soap</v>
      </c>
      <c r="H244" s="7" t="str">
        <f>VLOOKUP(InputData[[#This Row],[PRODUCT ID]],MasterData[],3,0)</f>
        <v>Category03</v>
      </c>
      <c r="I244" s="7" t="str">
        <f>VLOOKUP(InputData[[#This Row],[PRODUCT ID]],MasterData[],4,0)</f>
        <v>Ft</v>
      </c>
      <c r="J244" s="7">
        <f>VLOOKUP(InputData[[#This Row],[PRODUCT ID]],MasterData[],5,0)</f>
        <v>121</v>
      </c>
      <c r="K244" s="8">
        <f>VLOOKUP(InputData[[#This Row],[PRODUCT ID]],MasterData[],6,0)</f>
        <v>141.57</v>
      </c>
      <c r="L244" s="8">
        <f>InputData[[#This Row],[BUYING PRIZE]]*InputData[[#This Row],[QUANTITY]]</f>
        <v>1694</v>
      </c>
      <c r="M244" s="8">
        <f>InputData[[#This Row],[SELLING PRICE]]*InputData[[#This Row],[QUANTITY]]*(1-InputData[[#This Row],[DISCOUNT %]])</f>
        <v>1981.98</v>
      </c>
      <c r="N244" s="7">
        <f>DAY(InputData[[#This Row],[DATE]])</f>
        <v>10</v>
      </c>
      <c r="O244" s="7" t="str">
        <f>TEXT(InputData[[#This Row],[DATE]],"MMM")</f>
        <v>Apr</v>
      </c>
      <c r="P244" s="7">
        <f>YEAR(InputData[[#This Row],[DATE]])</f>
        <v>2021</v>
      </c>
    </row>
    <row r="245" spans="1:16" x14ac:dyDescent="0.25">
      <c r="A245" s="3">
        <v>44352</v>
      </c>
      <c r="B245" s="4" t="s">
        <v>52</v>
      </c>
      <c r="C245" s="5">
        <v>15</v>
      </c>
      <c r="D245" s="5" t="s">
        <v>105</v>
      </c>
      <c r="E245" s="5" t="s">
        <v>106</v>
      </c>
      <c r="F245" s="6">
        <v>0</v>
      </c>
      <c r="G245" s="7" t="str">
        <f>VLOOKUP(InputData[[#This Row],[PRODUCT ID]],MasterData[],2,0)</f>
        <v>Washing soap</v>
      </c>
      <c r="H245" s="7" t="str">
        <f>VLOOKUP(InputData[[#This Row],[PRODUCT ID]],MasterData[],3,0)</f>
        <v>Category03</v>
      </c>
      <c r="I245" s="7" t="str">
        <f>VLOOKUP(InputData[[#This Row],[PRODUCT ID]],MasterData[],4,0)</f>
        <v>Ft</v>
      </c>
      <c r="J245" s="7">
        <f>VLOOKUP(InputData[[#This Row],[PRODUCT ID]],MasterData[],5,0)</f>
        <v>121</v>
      </c>
      <c r="K245" s="8">
        <f>VLOOKUP(InputData[[#This Row],[PRODUCT ID]],MasterData[],6,0)</f>
        <v>141.57</v>
      </c>
      <c r="L245" s="8">
        <f>InputData[[#This Row],[BUYING PRIZE]]*InputData[[#This Row],[QUANTITY]]</f>
        <v>1815</v>
      </c>
      <c r="M245" s="8">
        <f>InputData[[#This Row],[SELLING PRICE]]*InputData[[#This Row],[QUANTITY]]*(1-InputData[[#This Row],[DISCOUNT %]])</f>
        <v>2123.5499999999997</v>
      </c>
      <c r="N245" s="7">
        <f>DAY(InputData[[#This Row],[DATE]])</f>
        <v>5</v>
      </c>
      <c r="O245" s="7" t="str">
        <f>TEXT(InputData[[#This Row],[DATE]],"MMM")</f>
        <v>Jun</v>
      </c>
      <c r="P245" s="7">
        <f>YEAR(InputData[[#This Row],[DATE]])</f>
        <v>2021</v>
      </c>
    </row>
    <row r="246" spans="1:16" x14ac:dyDescent="0.25">
      <c r="A246" s="3">
        <v>44411</v>
      </c>
      <c r="B246" s="4" t="s">
        <v>52</v>
      </c>
      <c r="C246" s="5">
        <v>13</v>
      </c>
      <c r="D246" s="5" t="s">
        <v>106</v>
      </c>
      <c r="E246" s="5" t="s">
        <v>106</v>
      </c>
      <c r="F246" s="6">
        <v>0</v>
      </c>
      <c r="G246" s="7" t="str">
        <f>VLOOKUP(InputData[[#This Row],[PRODUCT ID]],MasterData[],2,0)</f>
        <v>Washing soap</v>
      </c>
      <c r="H246" s="7" t="str">
        <f>VLOOKUP(InputData[[#This Row],[PRODUCT ID]],MasterData[],3,0)</f>
        <v>Category03</v>
      </c>
      <c r="I246" s="7" t="str">
        <f>VLOOKUP(InputData[[#This Row],[PRODUCT ID]],MasterData[],4,0)</f>
        <v>Ft</v>
      </c>
      <c r="J246" s="7">
        <f>VLOOKUP(InputData[[#This Row],[PRODUCT ID]],MasterData[],5,0)</f>
        <v>121</v>
      </c>
      <c r="K246" s="8">
        <f>VLOOKUP(InputData[[#This Row],[PRODUCT ID]],MasterData[],6,0)</f>
        <v>141.57</v>
      </c>
      <c r="L246" s="8">
        <f>InputData[[#This Row],[BUYING PRIZE]]*InputData[[#This Row],[QUANTITY]]</f>
        <v>1573</v>
      </c>
      <c r="M246" s="8">
        <f>InputData[[#This Row],[SELLING PRICE]]*InputData[[#This Row],[QUANTITY]]*(1-InputData[[#This Row],[DISCOUNT %]])</f>
        <v>1840.4099999999999</v>
      </c>
      <c r="N246" s="7">
        <f>DAY(InputData[[#This Row],[DATE]])</f>
        <v>3</v>
      </c>
      <c r="O246" s="7" t="str">
        <f>TEXT(InputData[[#This Row],[DATE]],"MMM")</f>
        <v>Aug</v>
      </c>
      <c r="P246" s="7">
        <f>YEAR(InputData[[#This Row],[DATE]])</f>
        <v>2021</v>
      </c>
    </row>
    <row r="247" spans="1:16" x14ac:dyDescent="0.25">
      <c r="A247" s="3">
        <v>44548</v>
      </c>
      <c r="B247" s="4" t="s">
        <v>52</v>
      </c>
      <c r="C247" s="5">
        <v>8</v>
      </c>
      <c r="D247" s="5" t="s">
        <v>106</v>
      </c>
      <c r="E247" s="5" t="s">
        <v>107</v>
      </c>
      <c r="F247" s="6">
        <v>0</v>
      </c>
      <c r="G247" s="7" t="str">
        <f>VLOOKUP(InputData[[#This Row],[PRODUCT ID]],MasterData[],2,0)</f>
        <v>Washing soap</v>
      </c>
      <c r="H247" s="7" t="str">
        <f>VLOOKUP(InputData[[#This Row],[PRODUCT ID]],MasterData[],3,0)</f>
        <v>Category03</v>
      </c>
      <c r="I247" s="7" t="str">
        <f>VLOOKUP(InputData[[#This Row],[PRODUCT ID]],MasterData[],4,0)</f>
        <v>Ft</v>
      </c>
      <c r="J247" s="7">
        <f>VLOOKUP(InputData[[#This Row],[PRODUCT ID]],MasterData[],5,0)</f>
        <v>121</v>
      </c>
      <c r="K247" s="8">
        <f>VLOOKUP(InputData[[#This Row],[PRODUCT ID]],MasterData[],6,0)</f>
        <v>141.57</v>
      </c>
      <c r="L247" s="8">
        <f>InputData[[#This Row],[BUYING PRIZE]]*InputData[[#This Row],[QUANTITY]]</f>
        <v>968</v>
      </c>
      <c r="M247" s="8">
        <f>InputData[[#This Row],[SELLING PRICE]]*InputData[[#This Row],[QUANTITY]]*(1-InputData[[#This Row],[DISCOUNT %]])</f>
        <v>1132.56</v>
      </c>
      <c r="N247" s="7">
        <f>DAY(InputData[[#This Row],[DATE]])</f>
        <v>18</v>
      </c>
      <c r="O247" s="7" t="str">
        <f>TEXT(InputData[[#This Row],[DATE]],"MMM")</f>
        <v>Dec</v>
      </c>
      <c r="P247" s="7">
        <f>YEAR(InputData[[#This Row],[DATE]])</f>
        <v>2021</v>
      </c>
    </row>
    <row r="248" spans="1:16" x14ac:dyDescent="0.25">
      <c r="A248" s="3">
        <v>44562</v>
      </c>
      <c r="B248" s="4" t="s">
        <v>52</v>
      </c>
      <c r="C248" s="5">
        <v>1</v>
      </c>
      <c r="D248" s="5" t="s">
        <v>105</v>
      </c>
      <c r="E248" s="5" t="s">
        <v>107</v>
      </c>
      <c r="F248" s="6">
        <v>0</v>
      </c>
      <c r="G248" s="7" t="str">
        <f>VLOOKUP(InputData[[#This Row],[PRODUCT ID]],MasterData[],2,0)</f>
        <v>Washing soap</v>
      </c>
      <c r="H248" s="7" t="str">
        <f>VLOOKUP(InputData[[#This Row],[PRODUCT ID]],MasterData[],3,0)</f>
        <v>Category03</v>
      </c>
      <c r="I248" s="7" t="str">
        <f>VLOOKUP(InputData[[#This Row],[PRODUCT ID]],MasterData[],4,0)</f>
        <v>Ft</v>
      </c>
      <c r="J248" s="7">
        <f>VLOOKUP(InputData[[#This Row],[PRODUCT ID]],MasterData[],5,0)</f>
        <v>121</v>
      </c>
      <c r="K248" s="8">
        <f>VLOOKUP(InputData[[#This Row],[PRODUCT ID]],MasterData[],6,0)</f>
        <v>141.57</v>
      </c>
      <c r="L248" s="8">
        <f>InputData[[#This Row],[BUYING PRIZE]]*InputData[[#This Row],[QUANTITY]]</f>
        <v>121</v>
      </c>
      <c r="M248" s="8">
        <f>InputData[[#This Row],[SELLING PRICE]]*InputData[[#This Row],[QUANTITY]]*(1-InputData[[#This Row],[DISCOUNT %]])</f>
        <v>141.57</v>
      </c>
      <c r="N248" s="7">
        <f>DAY(InputData[[#This Row],[DATE]])</f>
        <v>1</v>
      </c>
      <c r="O248" s="7" t="str">
        <f>TEXT(InputData[[#This Row],[DATE]],"MMM")</f>
        <v>Jan</v>
      </c>
      <c r="P248" s="7">
        <f>YEAR(InputData[[#This Row],[DATE]])</f>
        <v>2022</v>
      </c>
    </row>
    <row r="249" spans="1:16" x14ac:dyDescent="0.25">
      <c r="A249" s="3">
        <v>44576</v>
      </c>
      <c r="B249" s="4" t="s">
        <v>52</v>
      </c>
      <c r="C249" s="5">
        <v>10</v>
      </c>
      <c r="D249" s="5" t="s">
        <v>108</v>
      </c>
      <c r="E249" s="5" t="s">
        <v>107</v>
      </c>
      <c r="F249" s="6">
        <v>0</v>
      </c>
      <c r="G249" s="7" t="str">
        <f>VLOOKUP(InputData[[#This Row],[PRODUCT ID]],MasterData[],2,0)</f>
        <v>Washing soap</v>
      </c>
      <c r="H249" s="7" t="str">
        <f>VLOOKUP(InputData[[#This Row],[PRODUCT ID]],MasterData[],3,0)</f>
        <v>Category03</v>
      </c>
      <c r="I249" s="7" t="str">
        <f>VLOOKUP(InputData[[#This Row],[PRODUCT ID]],MasterData[],4,0)</f>
        <v>Ft</v>
      </c>
      <c r="J249" s="7">
        <f>VLOOKUP(InputData[[#This Row],[PRODUCT ID]],MasterData[],5,0)</f>
        <v>121</v>
      </c>
      <c r="K249" s="8">
        <f>VLOOKUP(InputData[[#This Row],[PRODUCT ID]],MasterData[],6,0)</f>
        <v>141.57</v>
      </c>
      <c r="L249" s="8">
        <f>InputData[[#This Row],[BUYING PRIZE]]*InputData[[#This Row],[QUANTITY]]</f>
        <v>1210</v>
      </c>
      <c r="M249" s="8">
        <f>InputData[[#This Row],[SELLING PRICE]]*InputData[[#This Row],[QUANTITY]]*(1-InputData[[#This Row],[DISCOUNT %]])</f>
        <v>1415.6999999999998</v>
      </c>
      <c r="N249" s="7">
        <f>DAY(InputData[[#This Row],[DATE]])</f>
        <v>15</v>
      </c>
      <c r="O249" s="7" t="str">
        <f>TEXT(InputData[[#This Row],[DATE]],"MMM")</f>
        <v>Jan</v>
      </c>
      <c r="P249" s="7">
        <f>YEAR(InputData[[#This Row],[DATE]])</f>
        <v>2022</v>
      </c>
    </row>
    <row r="250" spans="1:16" x14ac:dyDescent="0.25">
      <c r="A250" s="3">
        <v>44689</v>
      </c>
      <c r="B250" s="4" t="s">
        <v>52</v>
      </c>
      <c r="C250" s="5">
        <v>7</v>
      </c>
      <c r="D250" s="5" t="s">
        <v>106</v>
      </c>
      <c r="E250" s="5" t="s">
        <v>106</v>
      </c>
      <c r="F250" s="6">
        <v>0</v>
      </c>
      <c r="G250" s="7" t="str">
        <f>VLOOKUP(InputData[[#This Row],[PRODUCT ID]],MasterData[],2,0)</f>
        <v>Washing soap</v>
      </c>
      <c r="H250" s="7" t="str">
        <f>VLOOKUP(InputData[[#This Row],[PRODUCT ID]],MasterData[],3,0)</f>
        <v>Category03</v>
      </c>
      <c r="I250" s="7" t="str">
        <f>VLOOKUP(InputData[[#This Row],[PRODUCT ID]],MasterData[],4,0)</f>
        <v>Ft</v>
      </c>
      <c r="J250" s="7">
        <f>VLOOKUP(InputData[[#This Row],[PRODUCT ID]],MasterData[],5,0)</f>
        <v>121</v>
      </c>
      <c r="K250" s="8">
        <f>VLOOKUP(InputData[[#This Row],[PRODUCT ID]],MasterData[],6,0)</f>
        <v>141.57</v>
      </c>
      <c r="L250" s="8">
        <f>InputData[[#This Row],[BUYING PRIZE]]*InputData[[#This Row],[QUANTITY]]</f>
        <v>847</v>
      </c>
      <c r="M250" s="8">
        <f>InputData[[#This Row],[SELLING PRICE]]*InputData[[#This Row],[QUANTITY]]*(1-InputData[[#This Row],[DISCOUNT %]])</f>
        <v>990.99</v>
      </c>
      <c r="N250" s="7">
        <f>DAY(InputData[[#This Row],[DATE]])</f>
        <v>8</v>
      </c>
      <c r="O250" s="7" t="str">
        <f>TEXT(InputData[[#This Row],[DATE]],"MMM")</f>
        <v>May</v>
      </c>
      <c r="P250" s="7">
        <f>YEAR(InputData[[#This Row],[DATE]])</f>
        <v>2022</v>
      </c>
    </row>
    <row r="251" spans="1:16" x14ac:dyDescent="0.25">
      <c r="A251" s="3">
        <v>44214</v>
      </c>
      <c r="B251" s="4" t="s">
        <v>54</v>
      </c>
      <c r="C251" s="5">
        <v>3</v>
      </c>
      <c r="D251" s="5" t="s">
        <v>106</v>
      </c>
      <c r="E251" s="5" t="s">
        <v>107</v>
      </c>
      <c r="F251" s="6">
        <v>0</v>
      </c>
      <c r="G251" s="7" t="str">
        <f>VLOOKUP(InputData[[#This Row],[PRODUCT ID]],MasterData[],2,0)</f>
        <v>Bathing Soap</v>
      </c>
      <c r="H251" s="7" t="str">
        <f>VLOOKUP(InputData[[#This Row],[PRODUCT ID]],MasterData[],3,0)</f>
        <v>Category03</v>
      </c>
      <c r="I251" s="7" t="str">
        <f>VLOOKUP(InputData[[#This Row],[PRODUCT ID]],MasterData[],4,0)</f>
        <v>Ft</v>
      </c>
      <c r="J251" s="7">
        <f>VLOOKUP(InputData[[#This Row],[PRODUCT ID]],MasterData[],5,0)</f>
        <v>141</v>
      </c>
      <c r="K251" s="8">
        <f>VLOOKUP(InputData[[#This Row],[PRODUCT ID]],MasterData[],6,0)</f>
        <v>149.46</v>
      </c>
      <c r="L251" s="8">
        <f>InputData[[#This Row],[BUYING PRIZE]]*InputData[[#This Row],[QUANTITY]]</f>
        <v>423</v>
      </c>
      <c r="M251" s="8">
        <f>InputData[[#This Row],[SELLING PRICE]]*InputData[[#This Row],[QUANTITY]]*(1-InputData[[#This Row],[DISCOUNT %]])</f>
        <v>448.38</v>
      </c>
      <c r="N251" s="7">
        <f>DAY(InputData[[#This Row],[DATE]])</f>
        <v>18</v>
      </c>
      <c r="O251" s="7" t="str">
        <f>TEXT(InputData[[#This Row],[DATE]],"MMM")</f>
        <v>Jan</v>
      </c>
      <c r="P251" s="7">
        <f>YEAR(InputData[[#This Row],[DATE]])</f>
        <v>2021</v>
      </c>
    </row>
    <row r="252" spans="1:16" x14ac:dyDescent="0.25">
      <c r="A252" s="3">
        <v>44239</v>
      </c>
      <c r="B252" s="4" t="s">
        <v>54</v>
      </c>
      <c r="C252" s="5">
        <v>9</v>
      </c>
      <c r="D252" s="5" t="s">
        <v>106</v>
      </c>
      <c r="E252" s="5" t="s">
        <v>107</v>
      </c>
      <c r="F252" s="6">
        <v>0</v>
      </c>
      <c r="G252" s="7" t="str">
        <f>VLOOKUP(InputData[[#This Row],[PRODUCT ID]],MasterData[],2,0)</f>
        <v>Bathing Soap</v>
      </c>
      <c r="H252" s="7" t="str">
        <f>VLOOKUP(InputData[[#This Row],[PRODUCT ID]],MasterData[],3,0)</f>
        <v>Category03</v>
      </c>
      <c r="I252" s="7" t="str">
        <f>VLOOKUP(InputData[[#This Row],[PRODUCT ID]],MasterData[],4,0)</f>
        <v>Ft</v>
      </c>
      <c r="J252" s="7">
        <f>VLOOKUP(InputData[[#This Row],[PRODUCT ID]],MasterData[],5,0)</f>
        <v>141</v>
      </c>
      <c r="K252" s="8">
        <f>VLOOKUP(InputData[[#This Row],[PRODUCT ID]],MasterData[],6,0)</f>
        <v>149.46</v>
      </c>
      <c r="L252" s="8">
        <f>InputData[[#This Row],[BUYING PRIZE]]*InputData[[#This Row],[QUANTITY]]</f>
        <v>1269</v>
      </c>
      <c r="M252" s="8">
        <f>InputData[[#This Row],[SELLING PRICE]]*InputData[[#This Row],[QUANTITY]]*(1-InputData[[#This Row],[DISCOUNT %]])</f>
        <v>1345.14</v>
      </c>
      <c r="N252" s="7">
        <f>DAY(InputData[[#This Row],[DATE]])</f>
        <v>12</v>
      </c>
      <c r="O252" s="7" t="str">
        <f>TEXT(InputData[[#This Row],[DATE]],"MMM")</f>
        <v>Feb</v>
      </c>
      <c r="P252" s="7">
        <f>YEAR(InputData[[#This Row],[DATE]])</f>
        <v>2021</v>
      </c>
    </row>
    <row r="253" spans="1:16" x14ac:dyDescent="0.25">
      <c r="A253" s="3">
        <v>44346</v>
      </c>
      <c r="B253" s="4" t="s">
        <v>54</v>
      </c>
      <c r="C253" s="5">
        <v>13</v>
      </c>
      <c r="D253" s="5" t="s">
        <v>106</v>
      </c>
      <c r="E253" s="5" t="s">
        <v>106</v>
      </c>
      <c r="F253" s="6">
        <v>0</v>
      </c>
      <c r="G253" s="7" t="str">
        <f>VLOOKUP(InputData[[#This Row],[PRODUCT ID]],MasterData[],2,0)</f>
        <v>Bathing Soap</v>
      </c>
      <c r="H253" s="7" t="str">
        <f>VLOOKUP(InputData[[#This Row],[PRODUCT ID]],MasterData[],3,0)</f>
        <v>Category03</v>
      </c>
      <c r="I253" s="7" t="str">
        <f>VLOOKUP(InputData[[#This Row],[PRODUCT ID]],MasterData[],4,0)</f>
        <v>Ft</v>
      </c>
      <c r="J253" s="7">
        <f>VLOOKUP(InputData[[#This Row],[PRODUCT ID]],MasterData[],5,0)</f>
        <v>141</v>
      </c>
      <c r="K253" s="8">
        <f>VLOOKUP(InputData[[#This Row],[PRODUCT ID]],MasterData[],6,0)</f>
        <v>149.46</v>
      </c>
      <c r="L253" s="8">
        <f>InputData[[#This Row],[BUYING PRIZE]]*InputData[[#This Row],[QUANTITY]]</f>
        <v>1833</v>
      </c>
      <c r="M253" s="8">
        <f>InputData[[#This Row],[SELLING PRICE]]*InputData[[#This Row],[QUANTITY]]*(1-InputData[[#This Row],[DISCOUNT %]])</f>
        <v>1942.98</v>
      </c>
      <c r="N253" s="7">
        <f>DAY(InputData[[#This Row],[DATE]])</f>
        <v>30</v>
      </c>
      <c r="O253" s="7" t="str">
        <f>TEXT(InputData[[#This Row],[DATE]],"MMM")</f>
        <v>May</v>
      </c>
      <c r="P253" s="7">
        <f>YEAR(InputData[[#This Row],[DATE]])</f>
        <v>2021</v>
      </c>
    </row>
    <row r="254" spans="1:16" x14ac:dyDescent="0.25">
      <c r="A254" s="3">
        <v>44393</v>
      </c>
      <c r="B254" s="4" t="s">
        <v>54</v>
      </c>
      <c r="C254" s="5">
        <v>8</v>
      </c>
      <c r="D254" s="5" t="s">
        <v>105</v>
      </c>
      <c r="E254" s="5" t="s">
        <v>107</v>
      </c>
      <c r="F254" s="6">
        <v>0</v>
      </c>
      <c r="G254" s="7" t="str">
        <f>VLOOKUP(InputData[[#This Row],[PRODUCT ID]],MasterData[],2,0)</f>
        <v>Bathing Soap</v>
      </c>
      <c r="H254" s="7" t="str">
        <f>VLOOKUP(InputData[[#This Row],[PRODUCT ID]],MasterData[],3,0)</f>
        <v>Category03</v>
      </c>
      <c r="I254" s="7" t="str">
        <f>VLOOKUP(InputData[[#This Row],[PRODUCT ID]],MasterData[],4,0)</f>
        <v>Ft</v>
      </c>
      <c r="J254" s="7">
        <f>VLOOKUP(InputData[[#This Row],[PRODUCT ID]],MasterData[],5,0)</f>
        <v>141</v>
      </c>
      <c r="K254" s="8">
        <f>VLOOKUP(InputData[[#This Row],[PRODUCT ID]],MasterData[],6,0)</f>
        <v>149.46</v>
      </c>
      <c r="L254" s="8">
        <f>InputData[[#This Row],[BUYING PRIZE]]*InputData[[#This Row],[QUANTITY]]</f>
        <v>1128</v>
      </c>
      <c r="M254" s="8">
        <f>InputData[[#This Row],[SELLING PRICE]]*InputData[[#This Row],[QUANTITY]]*(1-InputData[[#This Row],[DISCOUNT %]])</f>
        <v>1195.68</v>
      </c>
      <c r="N254" s="7">
        <f>DAY(InputData[[#This Row],[DATE]])</f>
        <v>16</v>
      </c>
      <c r="O254" s="7" t="str">
        <f>TEXT(InputData[[#This Row],[DATE]],"MMM")</f>
        <v>Jul</v>
      </c>
      <c r="P254" s="7">
        <f>YEAR(InputData[[#This Row],[DATE]])</f>
        <v>2021</v>
      </c>
    </row>
    <row r="255" spans="1:16" x14ac:dyDescent="0.25">
      <c r="A255" s="3">
        <v>44410</v>
      </c>
      <c r="B255" s="4" t="s">
        <v>54</v>
      </c>
      <c r="C255" s="5">
        <v>3</v>
      </c>
      <c r="D255" s="5" t="s">
        <v>108</v>
      </c>
      <c r="E255" s="5" t="s">
        <v>106</v>
      </c>
      <c r="F255" s="6">
        <v>0</v>
      </c>
      <c r="G255" s="7" t="str">
        <f>VLOOKUP(InputData[[#This Row],[PRODUCT ID]],MasterData[],2,0)</f>
        <v>Bathing Soap</v>
      </c>
      <c r="H255" s="7" t="str">
        <f>VLOOKUP(InputData[[#This Row],[PRODUCT ID]],MasterData[],3,0)</f>
        <v>Category03</v>
      </c>
      <c r="I255" s="7" t="str">
        <f>VLOOKUP(InputData[[#This Row],[PRODUCT ID]],MasterData[],4,0)</f>
        <v>Ft</v>
      </c>
      <c r="J255" s="7">
        <f>VLOOKUP(InputData[[#This Row],[PRODUCT ID]],MasterData[],5,0)</f>
        <v>141</v>
      </c>
      <c r="K255" s="8">
        <f>VLOOKUP(InputData[[#This Row],[PRODUCT ID]],MasterData[],6,0)</f>
        <v>149.46</v>
      </c>
      <c r="L255" s="8">
        <f>InputData[[#This Row],[BUYING PRIZE]]*InputData[[#This Row],[QUANTITY]]</f>
        <v>423</v>
      </c>
      <c r="M255" s="8">
        <f>InputData[[#This Row],[SELLING PRICE]]*InputData[[#This Row],[QUANTITY]]*(1-InputData[[#This Row],[DISCOUNT %]])</f>
        <v>448.38</v>
      </c>
      <c r="N255" s="7">
        <f>DAY(InputData[[#This Row],[DATE]])</f>
        <v>2</v>
      </c>
      <c r="O255" s="7" t="str">
        <f>TEXT(InputData[[#This Row],[DATE]],"MMM")</f>
        <v>Aug</v>
      </c>
      <c r="P255" s="7">
        <f>YEAR(InputData[[#This Row],[DATE]])</f>
        <v>2021</v>
      </c>
    </row>
    <row r="256" spans="1:16" x14ac:dyDescent="0.25">
      <c r="A256" s="3">
        <v>44419</v>
      </c>
      <c r="B256" s="4" t="s">
        <v>54</v>
      </c>
      <c r="C256" s="5">
        <v>4</v>
      </c>
      <c r="D256" s="5" t="s">
        <v>108</v>
      </c>
      <c r="E256" s="5" t="s">
        <v>106</v>
      </c>
      <c r="F256" s="6">
        <v>0</v>
      </c>
      <c r="G256" s="7" t="str">
        <f>VLOOKUP(InputData[[#This Row],[PRODUCT ID]],MasterData[],2,0)</f>
        <v>Bathing Soap</v>
      </c>
      <c r="H256" s="7" t="str">
        <f>VLOOKUP(InputData[[#This Row],[PRODUCT ID]],MasterData[],3,0)</f>
        <v>Category03</v>
      </c>
      <c r="I256" s="7" t="str">
        <f>VLOOKUP(InputData[[#This Row],[PRODUCT ID]],MasterData[],4,0)</f>
        <v>Ft</v>
      </c>
      <c r="J256" s="7">
        <f>VLOOKUP(InputData[[#This Row],[PRODUCT ID]],MasterData[],5,0)</f>
        <v>141</v>
      </c>
      <c r="K256" s="8">
        <f>VLOOKUP(InputData[[#This Row],[PRODUCT ID]],MasterData[],6,0)</f>
        <v>149.46</v>
      </c>
      <c r="L256" s="8">
        <f>InputData[[#This Row],[BUYING PRIZE]]*InputData[[#This Row],[QUANTITY]]</f>
        <v>564</v>
      </c>
      <c r="M256" s="8">
        <f>InputData[[#This Row],[SELLING PRICE]]*InputData[[#This Row],[QUANTITY]]*(1-InputData[[#This Row],[DISCOUNT %]])</f>
        <v>597.84</v>
      </c>
      <c r="N256" s="7">
        <f>DAY(InputData[[#This Row],[DATE]])</f>
        <v>11</v>
      </c>
      <c r="O256" s="7" t="str">
        <f>TEXT(InputData[[#This Row],[DATE]],"MMM")</f>
        <v>Aug</v>
      </c>
      <c r="P256" s="7">
        <f>YEAR(InputData[[#This Row],[DATE]])</f>
        <v>2021</v>
      </c>
    </row>
    <row r="257" spans="1:16" x14ac:dyDescent="0.25">
      <c r="A257" s="3">
        <v>44443</v>
      </c>
      <c r="B257" s="4" t="s">
        <v>54</v>
      </c>
      <c r="C257" s="5">
        <v>15</v>
      </c>
      <c r="D257" s="5" t="s">
        <v>108</v>
      </c>
      <c r="E257" s="5" t="s">
        <v>106</v>
      </c>
      <c r="F257" s="6">
        <v>0</v>
      </c>
      <c r="G257" s="7" t="str">
        <f>VLOOKUP(InputData[[#This Row],[PRODUCT ID]],MasterData[],2,0)</f>
        <v>Bathing Soap</v>
      </c>
      <c r="H257" s="7" t="str">
        <f>VLOOKUP(InputData[[#This Row],[PRODUCT ID]],MasterData[],3,0)</f>
        <v>Category03</v>
      </c>
      <c r="I257" s="7" t="str">
        <f>VLOOKUP(InputData[[#This Row],[PRODUCT ID]],MasterData[],4,0)</f>
        <v>Ft</v>
      </c>
      <c r="J257" s="7">
        <f>VLOOKUP(InputData[[#This Row],[PRODUCT ID]],MasterData[],5,0)</f>
        <v>141</v>
      </c>
      <c r="K257" s="8">
        <f>VLOOKUP(InputData[[#This Row],[PRODUCT ID]],MasterData[],6,0)</f>
        <v>149.46</v>
      </c>
      <c r="L257" s="8">
        <f>InputData[[#This Row],[BUYING PRIZE]]*InputData[[#This Row],[QUANTITY]]</f>
        <v>2115</v>
      </c>
      <c r="M257" s="8">
        <f>InputData[[#This Row],[SELLING PRICE]]*InputData[[#This Row],[QUANTITY]]*(1-InputData[[#This Row],[DISCOUNT %]])</f>
        <v>2241.9</v>
      </c>
      <c r="N257" s="7">
        <f>DAY(InputData[[#This Row],[DATE]])</f>
        <v>4</v>
      </c>
      <c r="O257" s="7" t="str">
        <f>TEXT(InputData[[#This Row],[DATE]],"MMM")</f>
        <v>Sep</v>
      </c>
      <c r="P257" s="7">
        <f>YEAR(InputData[[#This Row],[DATE]])</f>
        <v>2021</v>
      </c>
    </row>
    <row r="258" spans="1:16" x14ac:dyDescent="0.25">
      <c r="A258" s="3">
        <v>44549</v>
      </c>
      <c r="B258" s="4" t="s">
        <v>54</v>
      </c>
      <c r="C258" s="5">
        <v>12</v>
      </c>
      <c r="D258" s="5" t="s">
        <v>108</v>
      </c>
      <c r="E258" s="5" t="s">
        <v>106</v>
      </c>
      <c r="F258" s="6">
        <v>0</v>
      </c>
      <c r="G258" s="7" t="str">
        <f>VLOOKUP(InputData[[#This Row],[PRODUCT ID]],MasterData[],2,0)</f>
        <v>Bathing Soap</v>
      </c>
      <c r="H258" s="7" t="str">
        <f>VLOOKUP(InputData[[#This Row],[PRODUCT ID]],MasterData[],3,0)</f>
        <v>Category03</v>
      </c>
      <c r="I258" s="7" t="str">
        <f>VLOOKUP(InputData[[#This Row],[PRODUCT ID]],MasterData[],4,0)</f>
        <v>Ft</v>
      </c>
      <c r="J258" s="7">
        <f>VLOOKUP(InputData[[#This Row],[PRODUCT ID]],MasterData[],5,0)</f>
        <v>141</v>
      </c>
      <c r="K258" s="8">
        <f>VLOOKUP(InputData[[#This Row],[PRODUCT ID]],MasterData[],6,0)</f>
        <v>149.46</v>
      </c>
      <c r="L258" s="8">
        <f>InputData[[#This Row],[BUYING PRIZE]]*InputData[[#This Row],[QUANTITY]]</f>
        <v>1692</v>
      </c>
      <c r="M258" s="8">
        <f>InputData[[#This Row],[SELLING PRICE]]*InputData[[#This Row],[QUANTITY]]*(1-InputData[[#This Row],[DISCOUNT %]])</f>
        <v>1793.52</v>
      </c>
      <c r="N258" s="7">
        <f>DAY(InputData[[#This Row],[DATE]])</f>
        <v>19</v>
      </c>
      <c r="O258" s="7" t="str">
        <f>TEXT(InputData[[#This Row],[DATE]],"MMM")</f>
        <v>Dec</v>
      </c>
      <c r="P258" s="7">
        <f>YEAR(InputData[[#This Row],[DATE]])</f>
        <v>2021</v>
      </c>
    </row>
    <row r="259" spans="1:16" x14ac:dyDescent="0.25">
      <c r="A259" s="3">
        <v>44592</v>
      </c>
      <c r="B259" s="4" t="s">
        <v>54</v>
      </c>
      <c r="C259" s="5">
        <v>6</v>
      </c>
      <c r="D259" s="5" t="s">
        <v>106</v>
      </c>
      <c r="E259" s="5" t="s">
        <v>107</v>
      </c>
      <c r="F259" s="6">
        <v>0</v>
      </c>
      <c r="G259" s="7" t="str">
        <f>VLOOKUP(InputData[[#This Row],[PRODUCT ID]],MasterData[],2,0)</f>
        <v>Bathing Soap</v>
      </c>
      <c r="H259" s="7" t="str">
        <f>VLOOKUP(InputData[[#This Row],[PRODUCT ID]],MasterData[],3,0)</f>
        <v>Category03</v>
      </c>
      <c r="I259" s="7" t="str">
        <f>VLOOKUP(InputData[[#This Row],[PRODUCT ID]],MasterData[],4,0)</f>
        <v>Ft</v>
      </c>
      <c r="J259" s="7">
        <f>VLOOKUP(InputData[[#This Row],[PRODUCT ID]],MasterData[],5,0)</f>
        <v>141</v>
      </c>
      <c r="K259" s="8">
        <f>VLOOKUP(InputData[[#This Row],[PRODUCT ID]],MasterData[],6,0)</f>
        <v>149.46</v>
      </c>
      <c r="L259" s="8">
        <f>InputData[[#This Row],[BUYING PRIZE]]*InputData[[#This Row],[QUANTITY]]</f>
        <v>846</v>
      </c>
      <c r="M259" s="8">
        <f>InputData[[#This Row],[SELLING PRICE]]*InputData[[#This Row],[QUANTITY]]*(1-InputData[[#This Row],[DISCOUNT %]])</f>
        <v>896.76</v>
      </c>
      <c r="N259" s="7">
        <f>DAY(InputData[[#This Row],[DATE]])</f>
        <v>31</v>
      </c>
      <c r="O259" s="7" t="str">
        <f>TEXT(InputData[[#This Row],[DATE]],"MMM")</f>
        <v>Jan</v>
      </c>
      <c r="P259" s="7">
        <f>YEAR(InputData[[#This Row],[DATE]])</f>
        <v>2022</v>
      </c>
    </row>
    <row r="260" spans="1:16" x14ac:dyDescent="0.25">
      <c r="A260" s="3">
        <v>44793</v>
      </c>
      <c r="B260" s="4" t="s">
        <v>54</v>
      </c>
      <c r="C260" s="5">
        <v>13</v>
      </c>
      <c r="D260" s="5" t="s">
        <v>108</v>
      </c>
      <c r="E260" s="5" t="s">
        <v>106</v>
      </c>
      <c r="F260" s="6">
        <v>0</v>
      </c>
      <c r="G260" s="7" t="str">
        <f>VLOOKUP(InputData[[#This Row],[PRODUCT ID]],MasterData[],2,0)</f>
        <v>Bathing Soap</v>
      </c>
      <c r="H260" s="7" t="str">
        <f>VLOOKUP(InputData[[#This Row],[PRODUCT ID]],MasterData[],3,0)</f>
        <v>Category03</v>
      </c>
      <c r="I260" s="7" t="str">
        <f>VLOOKUP(InputData[[#This Row],[PRODUCT ID]],MasterData[],4,0)</f>
        <v>Ft</v>
      </c>
      <c r="J260" s="7">
        <f>VLOOKUP(InputData[[#This Row],[PRODUCT ID]],MasterData[],5,0)</f>
        <v>141</v>
      </c>
      <c r="K260" s="8">
        <f>VLOOKUP(InputData[[#This Row],[PRODUCT ID]],MasterData[],6,0)</f>
        <v>149.46</v>
      </c>
      <c r="L260" s="8">
        <f>InputData[[#This Row],[BUYING PRIZE]]*InputData[[#This Row],[QUANTITY]]</f>
        <v>1833</v>
      </c>
      <c r="M260" s="8">
        <f>InputData[[#This Row],[SELLING PRICE]]*InputData[[#This Row],[QUANTITY]]*(1-InputData[[#This Row],[DISCOUNT %]])</f>
        <v>1942.98</v>
      </c>
      <c r="N260" s="7">
        <f>DAY(InputData[[#This Row],[DATE]])</f>
        <v>20</v>
      </c>
      <c r="O260" s="7" t="str">
        <f>TEXT(InputData[[#This Row],[DATE]],"MMM")</f>
        <v>Aug</v>
      </c>
      <c r="P260" s="7">
        <f>YEAR(InputData[[#This Row],[DATE]])</f>
        <v>2022</v>
      </c>
    </row>
    <row r="261" spans="1:16" x14ac:dyDescent="0.25">
      <c r="A261" s="3">
        <v>44197</v>
      </c>
      <c r="B261" s="4" t="s">
        <v>56</v>
      </c>
      <c r="C261" s="5">
        <v>9</v>
      </c>
      <c r="D261" s="5" t="s">
        <v>105</v>
      </c>
      <c r="E261" s="5" t="s">
        <v>106</v>
      </c>
      <c r="F261" s="6">
        <v>0</v>
      </c>
      <c r="G261" s="7" t="str">
        <f>VLOOKUP(InputData[[#This Row],[PRODUCT ID]],MasterData[],2,0)</f>
        <v>Dish washer</v>
      </c>
      <c r="H261" s="7" t="str">
        <f>VLOOKUP(InputData[[#This Row],[PRODUCT ID]],MasterData[],3,0)</f>
        <v>Category03</v>
      </c>
      <c r="I261" s="7" t="str">
        <f>VLOOKUP(InputData[[#This Row],[PRODUCT ID]],MasterData[],4,0)</f>
        <v>Ft</v>
      </c>
      <c r="J261" s="7">
        <f>VLOOKUP(InputData[[#This Row],[PRODUCT ID]],MasterData[],5,0)</f>
        <v>144</v>
      </c>
      <c r="K261" s="8">
        <f>VLOOKUP(InputData[[#This Row],[PRODUCT ID]],MasterData[],6,0)</f>
        <v>156.96</v>
      </c>
      <c r="L261" s="8">
        <f>InputData[[#This Row],[BUYING PRIZE]]*InputData[[#This Row],[QUANTITY]]</f>
        <v>1296</v>
      </c>
      <c r="M261" s="8">
        <f>InputData[[#This Row],[SELLING PRICE]]*InputData[[#This Row],[QUANTITY]]*(1-InputData[[#This Row],[DISCOUNT %]])</f>
        <v>1412.64</v>
      </c>
      <c r="N261" s="7">
        <f>DAY(InputData[[#This Row],[DATE]])</f>
        <v>1</v>
      </c>
      <c r="O261" s="7" t="str">
        <f>TEXT(InputData[[#This Row],[DATE]],"MMM")</f>
        <v>Jan</v>
      </c>
      <c r="P261" s="7">
        <f>YEAR(InputData[[#This Row],[DATE]])</f>
        <v>2021</v>
      </c>
    </row>
    <row r="262" spans="1:16" x14ac:dyDescent="0.25">
      <c r="A262" s="3">
        <v>44280</v>
      </c>
      <c r="B262" s="4" t="s">
        <v>56</v>
      </c>
      <c r="C262" s="5">
        <v>14</v>
      </c>
      <c r="D262" s="5" t="s">
        <v>106</v>
      </c>
      <c r="E262" s="5" t="s">
        <v>107</v>
      </c>
      <c r="F262" s="6">
        <v>0</v>
      </c>
      <c r="G262" s="7" t="str">
        <f>VLOOKUP(InputData[[#This Row],[PRODUCT ID]],MasterData[],2,0)</f>
        <v>Dish washer</v>
      </c>
      <c r="H262" s="7" t="str">
        <f>VLOOKUP(InputData[[#This Row],[PRODUCT ID]],MasterData[],3,0)</f>
        <v>Category03</v>
      </c>
      <c r="I262" s="7" t="str">
        <f>VLOOKUP(InputData[[#This Row],[PRODUCT ID]],MasterData[],4,0)</f>
        <v>Ft</v>
      </c>
      <c r="J262" s="7">
        <f>VLOOKUP(InputData[[#This Row],[PRODUCT ID]],MasterData[],5,0)</f>
        <v>144</v>
      </c>
      <c r="K262" s="8">
        <f>VLOOKUP(InputData[[#This Row],[PRODUCT ID]],MasterData[],6,0)</f>
        <v>156.96</v>
      </c>
      <c r="L262" s="8">
        <f>InputData[[#This Row],[BUYING PRIZE]]*InputData[[#This Row],[QUANTITY]]</f>
        <v>2016</v>
      </c>
      <c r="M262" s="8">
        <f>InputData[[#This Row],[SELLING PRICE]]*InputData[[#This Row],[QUANTITY]]*(1-InputData[[#This Row],[DISCOUNT %]])</f>
        <v>2197.44</v>
      </c>
      <c r="N262" s="7">
        <f>DAY(InputData[[#This Row],[DATE]])</f>
        <v>25</v>
      </c>
      <c r="O262" s="7" t="str">
        <f>TEXT(InputData[[#This Row],[DATE]],"MMM")</f>
        <v>Mar</v>
      </c>
      <c r="P262" s="7">
        <f>YEAR(InputData[[#This Row],[DATE]])</f>
        <v>2021</v>
      </c>
    </row>
    <row r="263" spans="1:16" x14ac:dyDescent="0.25">
      <c r="A263" s="3">
        <v>44399</v>
      </c>
      <c r="B263" s="4" t="s">
        <v>56</v>
      </c>
      <c r="C263" s="5">
        <v>14</v>
      </c>
      <c r="D263" s="5" t="s">
        <v>106</v>
      </c>
      <c r="E263" s="5" t="s">
        <v>107</v>
      </c>
      <c r="F263" s="6">
        <v>0</v>
      </c>
      <c r="G263" s="7" t="str">
        <f>VLOOKUP(InputData[[#This Row],[PRODUCT ID]],MasterData[],2,0)</f>
        <v>Dish washer</v>
      </c>
      <c r="H263" s="7" t="str">
        <f>VLOOKUP(InputData[[#This Row],[PRODUCT ID]],MasterData[],3,0)</f>
        <v>Category03</v>
      </c>
      <c r="I263" s="7" t="str">
        <f>VLOOKUP(InputData[[#This Row],[PRODUCT ID]],MasterData[],4,0)</f>
        <v>Ft</v>
      </c>
      <c r="J263" s="7">
        <f>VLOOKUP(InputData[[#This Row],[PRODUCT ID]],MasterData[],5,0)</f>
        <v>144</v>
      </c>
      <c r="K263" s="8">
        <f>VLOOKUP(InputData[[#This Row],[PRODUCT ID]],MasterData[],6,0)</f>
        <v>156.96</v>
      </c>
      <c r="L263" s="8">
        <f>InputData[[#This Row],[BUYING PRIZE]]*InputData[[#This Row],[QUANTITY]]</f>
        <v>2016</v>
      </c>
      <c r="M263" s="8">
        <f>InputData[[#This Row],[SELLING PRICE]]*InputData[[#This Row],[QUANTITY]]*(1-InputData[[#This Row],[DISCOUNT %]])</f>
        <v>2197.44</v>
      </c>
      <c r="N263" s="7">
        <f>DAY(InputData[[#This Row],[DATE]])</f>
        <v>22</v>
      </c>
      <c r="O263" s="7" t="str">
        <f>TEXT(InputData[[#This Row],[DATE]],"MMM")</f>
        <v>Jul</v>
      </c>
      <c r="P263" s="7">
        <f>YEAR(InputData[[#This Row],[DATE]])</f>
        <v>2021</v>
      </c>
    </row>
    <row r="264" spans="1:16" x14ac:dyDescent="0.25">
      <c r="A264" s="3">
        <v>44440</v>
      </c>
      <c r="B264" s="4" t="s">
        <v>56</v>
      </c>
      <c r="C264" s="5">
        <v>1</v>
      </c>
      <c r="D264" s="5" t="s">
        <v>105</v>
      </c>
      <c r="E264" s="5" t="s">
        <v>107</v>
      </c>
      <c r="F264" s="6">
        <v>0</v>
      </c>
      <c r="G264" s="7" t="str">
        <f>VLOOKUP(InputData[[#This Row],[PRODUCT ID]],MasterData[],2,0)</f>
        <v>Dish washer</v>
      </c>
      <c r="H264" s="7" t="str">
        <f>VLOOKUP(InputData[[#This Row],[PRODUCT ID]],MasterData[],3,0)</f>
        <v>Category03</v>
      </c>
      <c r="I264" s="7" t="str">
        <f>VLOOKUP(InputData[[#This Row],[PRODUCT ID]],MasterData[],4,0)</f>
        <v>Ft</v>
      </c>
      <c r="J264" s="7">
        <f>VLOOKUP(InputData[[#This Row],[PRODUCT ID]],MasterData[],5,0)</f>
        <v>144</v>
      </c>
      <c r="K264" s="8">
        <f>VLOOKUP(InputData[[#This Row],[PRODUCT ID]],MasterData[],6,0)</f>
        <v>156.96</v>
      </c>
      <c r="L264" s="8">
        <f>InputData[[#This Row],[BUYING PRIZE]]*InputData[[#This Row],[QUANTITY]]</f>
        <v>144</v>
      </c>
      <c r="M264" s="8">
        <f>InputData[[#This Row],[SELLING PRICE]]*InputData[[#This Row],[QUANTITY]]*(1-InputData[[#This Row],[DISCOUNT %]])</f>
        <v>156.96</v>
      </c>
      <c r="N264" s="7">
        <f>DAY(InputData[[#This Row],[DATE]])</f>
        <v>1</v>
      </c>
      <c r="O264" s="7" t="str">
        <f>TEXT(InputData[[#This Row],[DATE]],"MMM")</f>
        <v>Sep</v>
      </c>
      <c r="P264" s="7">
        <f>YEAR(InputData[[#This Row],[DATE]])</f>
        <v>2021</v>
      </c>
    </row>
    <row r="265" spans="1:16" x14ac:dyDescent="0.25">
      <c r="A265" s="3">
        <v>44491</v>
      </c>
      <c r="B265" s="4" t="s">
        <v>56</v>
      </c>
      <c r="C265" s="5">
        <v>13</v>
      </c>
      <c r="D265" s="5" t="s">
        <v>106</v>
      </c>
      <c r="E265" s="5" t="s">
        <v>107</v>
      </c>
      <c r="F265" s="6">
        <v>0</v>
      </c>
      <c r="G265" s="7" t="str">
        <f>VLOOKUP(InputData[[#This Row],[PRODUCT ID]],MasterData[],2,0)</f>
        <v>Dish washer</v>
      </c>
      <c r="H265" s="7" t="str">
        <f>VLOOKUP(InputData[[#This Row],[PRODUCT ID]],MasterData[],3,0)</f>
        <v>Category03</v>
      </c>
      <c r="I265" s="7" t="str">
        <f>VLOOKUP(InputData[[#This Row],[PRODUCT ID]],MasterData[],4,0)</f>
        <v>Ft</v>
      </c>
      <c r="J265" s="7">
        <f>VLOOKUP(InputData[[#This Row],[PRODUCT ID]],MasterData[],5,0)</f>
        <v>144</v>
      </c>
      <c r="K265" s="8">
        <f>VLOOKUP(InputData[[#This Row],[PRODUCT ID]],MasterData[],6,0)</f>
        <v>156.96</v>
      </c>
      <c r="L265" s="8">
        <f>InputData[[#This Row],[BUYING PRIZE]]*InputData[[#This Row],[QUANTITY]]</f>
        <v>1872</v>
      </c>
      <c r="M265" s="8">
        <f>InputData[[#This Row],[SELLING PRICE]]*InputData[[#This Row],[QUANTITY]]*(1-InputData[[#This Row],[DISCOUNT %]])</f>
        <v>2040.48</v>
      </c>
      <c r="N265" s="7">
        <f>DAY(InputData[[#This Row],[DATE]])</f>
        <v>22</v>
      </c>
      <c r="O265" s="7" t="str">
        <f>TEXT(InputData[[#This Row],[DATE]],"MMM")</f>
        <v>Oct</v>
      </c>
      <c r="P265" s="7">
        <f>YEAR(InputData[[#This Row],[DATE]])</f>
        <v>2021</v>
      </c>
    </row>
    <row r="266" spans="1:16" x14ac:dyDescent="0.25">
      <c r="A266" s="3">
        <v>44857</v>
      </c>
      <c r="B266" s="4" t="s">
        <v>56</v>
      </c>
      <c r="C266" s="5">
        <v>14</v>
      </c>
      <c r="D266" s="5" t="s">
        <v>106</v>
      </c>
      <c r="E266" s="5" t="s">
        <v>107</v>
      </c>
      <c r="F266" s="6">
        <v>0</v>
      </c>
      <c r="G266" s="7" t="str">
        <f>VLOOKUP(InputData[[#This Row],[PRODUCT ID]],MasterData[],2,0)</f>
        <v>Dish washer</v>
      </c>
      <c r="H266" s="7" t="str">
        <f>VLOOKUP(InputData[[#This Row],[PRODUCT ID]],MasterData[],3,0)</f>
        <v>Category03</v>
      </c>
      <c r="I266" s="7" t="str">
        <f>VLOOKUP(InputData[[#This Row],[PRODUCT ID]],MasterData[],4,0)</f>
        <v>Ft</v>
      </c>
      <c r="J266" s="7">
        <f>VLOOKUP(InputData[[#This Row],[PRODUCT ID]],MasterData[],5,0)</f>
        <v>144</v>
      </c>
      <c r="K266" s="8">
        <f>VLOOKUP(InputData[[#This Row],[PRODUCT ID]],MasterData[],6,0)</f>
        <v>156.96</v>
      </c>
      <c r="L266" s="8">
        <f>InputData[[#This Row],[BUYING PRIZE]]*InputData[[#This Row],[QUANTITY]]</f>
        <v>2016</v>
      </c>
      <c r="M266" s="8">
        <f>InputData[[#This Row],[SELLING PRICE]]*InputData[[#This Row],[QUANTITY]]*(1-InputData[[#This Row],[DISCOUNT %]])</f>
        <v>2197.44</v>
      </c>
      <c r="N266" s="7">
        <f>DAY(InputData[[#This Row],[DATE]])</f>
        <v>23</v>
      </c>
      <c r="O266" s="7" t="str">
        <f>TEXT(InputData[[#This Row],[DATE]],"MMM")</f>
        <v>Oct</v>
      </c>
      <c r="P266" s="7">
        <f>YEAR(InputData[[#This Row],[DATE]])</f>
        <v>2022</v>
      </c>
    </row>
    <row r="267" spans="1:16" x14ac:dyDescent="0.25">
      <c r="A267" s="3">
        <v>44205</v>
      </c>
      <c r="B267" s="4" t="s">
        <v>58</v>
      </c>
      <c r="C267" s="5">
        <v>4</v>
      </c>
      <c r="D267" s="5" t="s">
        <v>108</v>
      </c>
      <c r="E267" s="5" t="s">
        <v>106</v>
      </c>
      <c r="F267" s="6">
        <v>0</v>
      </c>
      <c r="G267" s="7" t="str">
        <f>VLOOKUP(InputData[[#This Row],[PRODUCT ID]],MasterData[],2,0)</f>
        <v>Mugs</v>
      </c>
      <c r="H267" s="7" t="str">
        <f>VLOOKUP(InputData[[#This Row],[PRODUCT ID]],MasterData[],3,0)</f>
        <v>Category03</v>
      </c>
      <c r="I267" s="7" t="str">
        <f>VLOOKUP(InputData[[#This Row],[PRODUCT ID]],MasterData[],4,0)</f>
        <v>No.</v>
      </c>
      <c r="J267" s="7">
        <f>VLOOKUP(InputData[[#This Row],[PRODUCT ID]],MasterData[],5,0)</f>
        <v>7</v>
      </c>
      <c r="K267" s="8">
        <f>VLOOKUP(InputData[[#This Row],[PRODUCT ID]],MasterData[],6,0)</f>
        <v>8.33</v>
      </c>
      <c r="L267" s="8">
        <f>InputData[[#This Row],[BUYING PRIZE]]*InputData[[#This Row],[QUANTITY]]</f>
        <v>28</v>
      </c>
      <c r="M267" s="8">
        <f>InputData[[#This Row],[SELLING PRICE]]*InputData[[#This Row],[QUANTITY]]*(1-InputData[[#This Row],[DISCOUNT %]])</f>
        <v>33.32</v>
      </c>
      <c r="N267" s="7">
        <f>DAY(InputData[[#This Row],[DATE]])</f>
        <v>9</v>
      </c>
      <c r="O267" s="7" t="str">
        <f>TEXT(InputData[[#This Row],[DATE]],"MMM")</f>
        <v>Jan</v>
      </c>
      <c r="P267" s="7">
        <f>YEAR(InputData[[#This Row],[DATE]])</f>
        <v>2021</v>
      </c>
    </row>
    <row r="268" spans="1:16" x14ac:dyDescent="0.25">
      <c r="A268" s="3">
        <v>44250</v>
      </c>
      <c r="B268" s="4" t="s">
        <v>58</v>
      </c>
      <c r="C268" s="5">
        <v>3</v>
      </c>
      <c r="D268" s="5" t="s">
        <v>108</v>
      </c>
      <c r="E268" s="5" t="s">
        <v>107</v>
      </c>
      <c r="F268" s="6">
        <v>0</v>
      </c>
      <c r="G268" s="7" t="str">
        <f>VLOOKUP(InputData[[#This Row],[PRODUCT ID]],MasterData[],2,0)</f>
        <v>Mugs</v>
      </c>
      <c r="H268" s="7" t="str">
        <f>VLOOKUP(InputData[[#This Row],[PRODUCT ID]],MasterData[],3,0)</f>
        <v>Category03</v>
      </c>
      <c r="I268" s="7" t="str">
        <f>VLOOKUP(InputData[[#This Row],[PRODUCT ID]],MasterData[],4,0)</f>
        <v>No.</v>
      </c>
      <c r="J268" s="7">
        <f>VLOOKUP(InputData[[#This Row],[PRODUCT ID]],MasterData[],5,0)</f>
        <v>7</v>
      </c>
      <c r="K268" s="8">
        <f>VLOOKUP(InputData[[#This Row],[PRODUCT ID]],MasterData[],6,0)</f>
        <v>8.33</v>
      </c>
      <c r="L268" s="8">
        <f>InputData[[#This Row],[BUYING PRIZE]]*InputData[[#This Row],[QUANTITY]]</f>
        <v>21</v>
      </c>
      <c r="M268" s="8">
        <f>InputData[[#This Row],[SELLING PRICE]]*InputData[[#This Row],[QUANTITY]]*(1-InputData[[#This Row],[DISCOUNT %]])</f>
        <v>24.990000000000002</v>
      </c>
      <c r="N268" s="7">
        <f>DAY(InputData[[#This Row],[DATE]])</f>
        <v>23</v>
      </c>
      <c r="O268" s="7" t="str">
        <f>TEXT(InputData[[#This Row],[DATE]],"MMM")</f>
        <v>Feb</v>
      </c>
      <c r="P268" s="7">
        <f>YEAR(InputData[[#This Row],[DATE]])</f>
        <v>2021</v>
      </c>
    </row>
    <row r="269" spans="1:16" x14ac:dyDescent="0.25">
      <c r="A269" s="3">
        <v>44266</v>
      </c>
      <c r="B269" s="4" t="s">
        <v>58</v>
      </c>
      <c r="C269" s="5">
        <v>11</v>
      </c>
      <c r="D269" s="5" t="s">
        <v>108</v>
      </c>
      <c r="E269" s="5" t="s">
        <v>107</v>
      </c>
      <c r="F269" s="6">
        <v>0</v>
      </c>
      <c r="G269" s="7" t="str">
        <f>VLOOKUP(InputData[[#This Row],[PRODUCT ID]],MasterData[],2,0)</f>
        <v>Mugs</v>
      </c>
      <c r="H269" s="7" t="str">
        <f>VLOOKUP(InputData[[#This Row],[PRODUCT ID]],MasterData[],3,0)</f>
        <v>Category03</v>
      </c>
      <c r="I269" s="7" t="str">
        <f>VLOOKUP(InputData[[#This Row],[PRODUCT ID]],MasterData[],4,0)</f>
        <v>No.</v>
      </c>
      <c r="J269" s="7">
        <f>VLOOKUP(InputData[[#This Row],[PRODUCT ID]],MasterData[],5,0)</f>
        <v>7</v>
      </c>
      <c r="K269" s="8">
        <f>VLOOKUP(InputData[[#This Row],[PRODUCT ID]],MasterData[],6,0)</f>
        <v>8.33</v>
      </c>
      <c r="L269" s="8">
        <f>InputData[[#This Row],[BUYING PRIZE]]*InputData[[#This Row],[QUANTITY]]</f>
        <v>77</v>
      </c>
      <c r="M269" s="8">
        <f>InputData[[#This Row],[SELLING PRICE]]*InputData[[#This Row],[QUANTITY]]*(1-InputData[[#This Row],[DISCOUNT %]])</f>
        <v>91.63</v>
      </c>
      <c r="N269" s="7">
        <f>DAY(InputData[[#This Row],[DATE]])</f>
        <v>11</v>
      </c>
      <c r="O269" s="7" t="str">
        <f>TEXT(InputData[[#This Row],[DATE]],"MMM")</f>
        <v>Mar</v>
      </c>
      <c r="P269" s="7">
        <f>YEAR(InputData[[#This Row],[DATE]])</f>
        <v>2021</v>
      </c>
    </row>
    <row r="270" spans="1:16" x14ac:dyDescent="0.25">
      <c r="A270" s="3">
        <v>44361</v>
      </c>
      <c r="B270" s="4" t="s">
        <v>58</v>
      </c>
      <c r="C270" s="5">
        <v>10</v>
      </c>
      <c r="D270" s="5" t="s">
        <v>106</v>
      </c>
      <c r="E270" s="5" t="s">
        <v>107</v>
      </c>
      <c r="F270" s="6">
        <v>0</v>
      </c>
      <c r="G270" s="7" t="str">
        <f>VLOOKUP(InputData[[#This Row],[PRODUCT ID]],MasterData[],2,0)</f>
        <v>Mugs</v>
      </c>
      <c r="H270" s="7" t="str">
        <f>VLOOKUP(InputData[[#This Row],[PRODUCT ID]],MasterData[],3,0)</f>
        <v>Category03</v>
      </c>
      <c r="I270" s="7" t="str">
        <f>VLOOKUP(InputData[[#This Row],[PRODUCT ID]],MasterData[],4,0)</f>
        <v>No.</v>
      </c>
      <c r="J270" s="7">
        <f>VLOOKUP(InputData[[#This Row],[PRODUCT ID]],MasterData[],5,0)</f>
        <v>7</v>
      </c>
      <c r="K270" s="8">
        <f>VLOOKUP(InputData[[#This Row],[PRODUCT ID]],MasterData[],6,0)</f>
        <v>8.33</v>
      </c>
      <c r="L270" s="8">
        <f>InputData[[#This Row],[BUYING PRIZE]]*InputData[[#This Row],[QUANTITY]]</f>
        <v>70</v>
      </c>
      <c r="M270" s="8">
        <f>InputData[[#This Row],[SELLING PRICE]]*InputData[[#This Row],[QUANTITY]]*(1-InputData[[#This Row],[DISCOUNT %]])</f>
        <v>83.3</v>
      </c>
      <c r="N270" s="7">
        <f>DAY(InputData[[#This Row],[DATE]])</f>
        <v>14</v>
      </c>
      <c r="O270" s="7" t="str">
        <f>TEXT(InputData[[#This Row],[DATE]],"MMM")</f>
        <v>Jun</v>
      </c>
      <c r="P270" s="7">
        <f>YEAR(InputData[[#This Row],[DATE]])</f>
        <v>2021</v>
      </c>
    </row>
    <row r="271" spans="1:16" x14ac:dyDescent="0.25">
      <c r="A271" s="3">
        <v>44365</v>
      </c>
      <c r="B271" s="4" t="s">
        <v>58</v>
      </c>
      <c r="C271" s="5">
        <v>13</v>
      </c>
      <c r="D271" s="5" t="s">
        <v>108</v>
      </c>
      <c r="E271" s="5" t="s">
        <v>107</v>
      </c>
      <c r="F271" s="6">
        <v>0</v>
      </c>
      <c r="G271" s="7" t="str">
        <f>VLOOKUP(InputData[[#This Row],[PRODUCT ID]],MasterData[],2,0)</f>
        <v>Mugs</v>
      </c>
      <c r="H271" s="7" t="str">
        <f>VLOOKUP(InputData[[#This Row],[PRODUCT ID]],MasterData[],3,0)</f>
        <v>Category03</v>
      </c>
      <c r="I271" s="7" t="str">
        <f>VLOOKUP(InputData[[#This Row],[PRODUCT ID]],MasterData[],4,0)</f>
        <v>No.</v>
      </c>
      <c r="J271" s="7">
        <f>VLOOKUP(InputData[[#This Row],[PRODUCT ID]],MasterData[],5,0)</f>
        <v>7</v>
      </c>
      <c r="K271" s="8">
        <f>VLOOKUP(InputData[[#This Row],[PRODUCT ID]],MasterData[],6,0)</f>
        <v>8.33</v>
      </c>
      <c r="L271" s="8">
        <f>InputData[[#This Row],[BUYING PRIZE]]*InputData[[#This Row],[QUANTITY]]</f>
        <v>91</v>
      </c>
      <c r="M271" s="8">
        <f>InputData[[#This Row],[SELLING PRICE]]*InputData[[#This Row],[QUANTITY]]*(1-InputData[[#This Row],[DISCOUNT %]])</f>
        <v>108.29</v>
      </c>
      <c r="N271" s="7">
        <f>DAY(InputData[[#This Row],[DATE]])</f>
        <v>18</v>
      </c>
      <c r="O271" s="7" t="str">
        <f>TEXT(InputData[[#This Row],[DATE]],"MMM")</f>
        <v>Jun</v>
      </c>
      <c r="P271" s="7">
        <f>YEAR(InputData[[#This Row],[DATE]])</f>
        <v>2021</v>
      </c>
    </row>
    <row r="272" spans="1:16" x14ac:dyDescent="0.25">
      <c r="A272" s="3">
        <v>44426</v>
      </c>
      <c r="B272" s="4" t="s">
        <v>58</v>
      </c>
      <c r="C272" s="5">
        <v>6</v>
      </c>
      <c r="D272" s="5" t="s">
        <v>108</v>
      </c>
      <c r="E272" s="5" t="s">
        <v>106</v>
      </c>
      <c r="F272" s="6">
        <v>0</v>
      </c>
      <c r="G272" s="7" t="str">
        <f>VLOOKUP(InputData[[#This Row],[PRODUCT ID]],MasterData[],2,0)</f>
        <v>Mugs</v>
      </c>
      <c r="H272" s="7" t="str">
        <f>VLOOKUP(InputData[[#This Row],[PRODUCT ID]],MasterData[],3,0)</f>
        <v>Category03</v>
      </c>
      <c r="I272" s="7" t="str">
        <f>VLOOKUP(InputData[[#This Row],[PRODUCT ID]],MasterData[],4,0)</f>
        <v>No.</v>
      </c>
      <c r="J272" s="7">
        <f>VLOOKUP(InputData[[#This Row],[PRODUCT ID]],MasterData[],5,0)</f>
        <v>7</v>
      </c>
      <c r="K272" s="8">
        <f>VLOOKUP(InputData[[#This Row],[PRODUCT ID]],MasterData[],6,0)</f>
        <v>8.33</v>
      </c>
      <c r="L272" s="8">
        <f>InputData[[#This Row],[BUYING PRIZE]]*InputData[[#This Row],[QUANTITY]]</f>
        <v>42</v>
      </c>
      <c r="M272" s="8">
        <f>InputData[[#This Row],[SELLING PRICE]]*InputData[[#This Row],[QUANTITY]]*(1-InputData[[#This Row],[DISCOUNT %]])</f>
        <v>49.980000000000004</v>
      </c>
      <c r="N272" s="7">
        <f>DAY(InputData[[#This Row],[DATE]])</f>
        <v>18</v>
      </c>
      <c r="O272" s="7" t="str">
        <f>TEXT(InputData[[#This Row],[DATE]],"MMM")</f>
        <v>Aug</v>
      </c>
      <c r="P272" s="7">
        <f>YEAR(InputData[[#This Row],[DATE]])</f>
        <v>2021</v>
      </c>
    </row>
    <row r="273" spans="1:16" x14ac:dyDescent="0.25">
      <c r="A273" s="3">
        <v>44487</v>
      </c>
      <c r="B273" s="4" t="s">
        <v>58</v>
      </c>
      <c r="C273" s="5">
        <v>6</v>
      </c>
      <c r="D273" s="5" t="s">
        <v>106</v>
      </c>
      <c r="E273" s="5" t="s">
        <v>107</v>
      </c>
      <c r="F273" s="6">
        <v>0</v>
      </c>
      <c r="G273" s="7" t="str">
        <f>VLOOKUP(InputData[[#This Row],[PRODUCT ID]],MasterData[],2,0)</f>
        <v>Mugs</v>
      </c>
      <c r="H273" s="7" t="str">
        <f>VLOOKUP(InputData[[#This Row],[PRODUCT ID]],MasterData[],3,0)</f>
        <v>Category03</v>
      </c>
      <c r="I273" s="7" t="str">
        <f>VLOOKUP(InputData[[#This Row],[PRODUCT ID]],MasterData[],4,0)</f>
        <v>No.</v>
      </c>
      <c r="J273" s="7">
        <f>VLOOKUP(InputData[[#This Row],[PRODUCT ID]],MasterData[],5,0)</f>
        <v>7</v>
      </c>
      <c r="K273" s="8">
        <f>VLOOKUP(InputData[[#This Row],[PRODUCT ID]],MasterData[],6,0)</f>
        <v>8.33</v>
      </c>
      <c r="L273" s="8">
        <f>InputData[[#This Row],[BUYING PRIZE]]*InputData[[#This Row],[QUANTITY]]</f>
        <v>42</v>
      </c>
      <c r="M273" s="8">
        <f>InputData[[#This Row],[SELLING PRICE]]*InputData[[#This Row],[QUANTITY]]*(1-InputData[[#This Row],[DISCOUNT %]])</f>
        <v>49.980000000000004</v>
      </c>
      <c r="N273" s="7">
        <f>DAY(InputData[[#This Row],[DATE]])</f>
        <v>18</v>
      </c>
      <c r="O273" s="7" t="str">
        <f>TEXT(InputData[[#This Row],[DATE]],"MMM")</f>
        <v>Oct</v>
      </c>
      <c r="P273" s="7">
        <f>YEAR(InputData[[#This Row],[DATE]])</f>
        <v>2021</v>
      </c>
    </row>
    <row r="274" spans="1:16" x14ac:dyDescent="0.25">
      <c r="A274" s="3">
        <v>44747</v>
      </c>
      <c r="B274" s="4" t="s">
        <v>58</v>
      </c>
      <c r="C274" s="5">
        <v>7</v>
      </c>
      <c r="D274" s="5" t="s">
        <v>106</v>
      </c>
      <c r="E274" s="5" t="s">
        <v>107</v>
      </c>
      <c r="F274" s="6">
        <v>0</v>
      </c>
      <c r="G274" s="7" t="str">
        <f>VLOOKUP(InputData[[#This Row],[PRODUCT ID]],MasterData[],2,0)</f>
        <v>Mugs</v>
      </c>
      <c r="H274" s="7" t="str">
        <f>VLOOKUP(InputData[[#This Row],[PRODUCT ID]],MasterData[],3,0)</f>
        <v>Category03</v>
      </c>
      <c r="I274" s="7" t="str">
        <f>VLOOKUP(InputData[[#This Row],[PRODUCT ID]],MasterData[],4,0)</f>
        <v>No.</v>
      </c>
      <c r="J274" s="7">
        <f>VLOOKUP(InputData[[#This Row],[PRODUCT ID]],MasterData[],5,0)</f>
        <v>7</v>
      </c>
      <c r="K274" s="8">
        <f>VLOOKUP(InputData[[#This Row],[PRODUCT ID]],MasterData[],6,0)</f>
        <v>8.33</v>
      </c>
      <c r="L274" s="8">
        <f>InputData[[#This Row],[BUYING PRIZE]]*InputData[[#This Row],[QUANTITY]]</f>
        <v>49</v>
      </c>
      <c r="M274" s="8">
        <f>InputData[[#This Row],[SELLING PRICE]]*InputData[[#This Row],[QUANTITY]]*(1-InputData[[#This Row],[DISCOUNT %]])</f>
        <v>58.31</v>
      </c>
      <c r="N274" s="7">
        <f>DAY(InputData[[#This Row],[DATE]])</f>
        <v>5</v>
      </c>
      <c r="O274" s="7" t="str">
        <f>TEXT(InputData[[#This Row],[DATE]],"MMM")</f>
        <v>Jul</v>
      </c>
      <c r="P274" s="7">
        <f>YEAR(InputData[[#This Row],[DATE]])</f>
        <v>2022</v>
      </c>
    </row>
    <row r="275" spans="1:16" x14ac:dyDescent="0.25">
      <c r="A275" s="3">
        <v>44755</v>
      </c>
      <c r="B275" s="4" t="s">
        <v>58</v>
      </c>
      <c r="C275" s="5">
        <v>7</v>
      </c>
      <c r="D275" s="5" t="s">
        <v>108</v>
      </c>
      <c r="E275" s="5" t="s">
        <v>106</v>
      </c>
      <c r="F275" s="6">
        <v>0</v>
      </c>
      <c r="G275" s="7" t="str">
        <f>VLOOKUP(InputData[[#This Row],[PRODUCT ID]],MasterData[],2,0)</f>
        <v>Mugs</v>
      </c>
      <c r="H275" s="7" t="str">
        <f>VLOOKUP(InputData[[#This Row],[PRODUCT ID]],MasterData[],3,0)</f>
        <v>Category03</v>
      </c>
      <c r="I275" s="7" t="str">
        <f>VLOOKUP(InputData[[#This Row],[PRODUCT ID]],MasterData[],4,0)</f>
        <v>No.</v>
      </c>
      <c r="J275" s="7">
        <f>VLOOKUP(InputData[[#This Row],[PRODUCT ID]],MasterData[],5,0)</f>
        <v>7</v>
      </c>
      <c r="K275" s="8">
        <f>VLOOKUP(InputData[[#This Row],[PRODUCT ID]],MasterData[],6,0)</f>
        <v>8.33</v>
      </c>
      <c r="L275" s="8">
        <f>InputData[[#This Row],[BUYING PRIZE]]*InputData[[#This Row],[QUANTITY]]</f>
        <v>49</v>
      </c>
      <c r="M275" s="8">
        <f>InputData[[#This Row],[SELLING PRICE]]*InputData[[#This Row],[QUANTITY]]*(1-InputData[[#This Row],[DISCOUNT %]])</f>
        <v>58.31</v>
      </c>
      <c r="N275" s="7">
        <f>DAY(InputData[[#This Row],[DATE]])</f>
        <v>13</v>
      </c>
      <c r="O275" s="7" t="str">
        <f>TEXT(InputData[[#This Row],[DATE]],"MMM")</f>
        <v>Jul</v>
      </c>
      <c r="P275" s="7">
        <f>YEAR(InputData[[#This Row],[DATE]])</f>
        <v>2022</v>
      </c>
    </row>
    <row r="276" spans="1:16" x14ac:dyDescent="0.25">
      <c r="A276" s="3">
        <v>44803</v>
      </c>
      <c r="B276" s="4" t="s">
        <v>58</v>
      </c>
      <c r="C276" s="5">
        <v>5</v>
      </c>
      <c r="D276" s="5" t="s">
        <v>108</v>
      </c>
      <c r="E276" s="5" t="s">
        <v>107</v>
      </c>
      <c r="F276" s="6">
        <v>0</v>
      </c>
      <c r="G276" s="7" t="str">
        <f>VLOOKUP(InputData[[#This Row],[PRODUCT ID]],MasterData[],2,0)</f>
        <v>Mugs</v>
      </c>
      <c r="H276" s="7" t="str">
        <f>VLOOKUP(InputData[[#This Row],[PRODUCT ID]],MasterData[],3,0)</f>
        <v>Category03</v>
      </c>
      <c r="I276" s="7" t="str">
        <f>VLOOKUP(InputData[[#This Row],[PRODUCT ID]],MasterData[],4,0)</f>
        <v>No.</v>
      </c>
      <c r="J276" s="7">
        <f>VLOOKUP(InputData[[#This Row],[PRODUCT ID]],MasterData[],5,0)</f>
        <v>7</v>
      </c>
      <c r="K276" s="8">
        <f>VLOOKUP(InputData[[#This Row],[PRODUCT ID]],MasterData[],6,0)</f>
        <v>8.33</v>
      </c>
      <c r="L276" s="8">
        <f>InputData[[#This Row],[BUYING PRIZE]]*InputData[[#This Row],[QUANTITY]]</f>
        <v>35</v>
      </c>
      <c r="M276" s="8">
        <f>InputData[[#This Row],[SELLING PRICE]]*InputData[[#This Row],[QUANTITY]]*(1-InputData[[#This Row],[DISCOUNT %]])</f>
        <v>41.65</v>
      </c>
      <c r="N276" s="7">
        <f>DAY(InputData[[#This Row],[DATE]])</f>
        <v>30</v>
      </c>
      <c r="O276" s="7" t="str">
        <f>TEXT(InputData[[#This Row],[DATE]],"MMM")</f>
        <v>Aug</v>
      </c>
      <c r="P276" s="7">
        <f>YEAR(InputData[[#This Row],[DATE]])</f>
        <v>2022</v>
      </c>
    </row>
    <row r="277" spans="1:16" x14ac:dyDescent="0.25">
      <c r="A277" s="3">
        <v>44399</v>
      </c>
      <c r="B277" s="4" t="s">
        <v>60</v>
      </c>
      <c r="C277" s="5">
        <v>3</v>
      </c>
      <c r="D277" s="5" t="s">
        <v>105</v>
      </c>
      <c r="E277" s="5" t="s">
        <v>107</v>
      </c>
      <c r="F277" s="6">
        <v>0</v>
      </c>
      <c r="G277" s="7" t="str">
        <f>VLOOKUP(InputData[[#This Row],[PRODUCT ID]],MasterData[],2,0)</f>
        <v>Glass</v>
      </c>
      <c r="H277" s="7" t="str">
        <f>VLOOKUP(InputData[[#This Row],[PRODUCT ID]],MasterData[],3,0)</f>
        <v>Category04</v>
      </c>
      <c r="I277" s="7" t="str">
        <f>VLOOKUP(InputData[[#This Row],[PRODUCT ID]],MasterData[],4,0)</f>
        <v>No.</v>
      </c>
      <c r="J277" s="7">
        <f>VLOOKUP(InputData[[#This Row],[PRODUCT ID]],MasterData[],5,0)</f>
        <v>18</v>
      </c>
      <c r="K277" s="8">
        <f>VLOOKUP(InputData[[#This Row],[PRODUCT ID]],MasterData[],6,0)</f>
        <v>24.66</v>
      </c>
      <c r="L277" s="8">
        <f>InputData[[#This Row],[BUYING PRIZE]]*InputData[[#This Row],[QUANTITY]]</f>
        <v>54</v>
      </c>
      <c r="M277" s="8">
        <f>InputData[[#This Row],[SELLING PRICE]]*InputData[[#This Row],[QUANTITY]]*(1-InputData[[#This Row],[DISCOUNT %]])</f>
        <v>73.98</v>
      </c>
      <c r="N277" s="7">
        <f>DAY(InputData[[#This Row],[DATE]])</f>
        <v>22</v>
      </c>
      <c r="O277" s="7" t="str">
        <f>TEXT(InputData[[#This Row],[DATE]],"MMM")</f>
        <v>Jul</v>
      </c>
      <c r="P277" s="7">
        <f>YEAR(InputData[[#This Row],[DATE]])</f>
        <v>2021</v>
      </c>
    </row>
    <row r="278" spans="1:16" x14ac:dyDescent="0.25">
      <c r="A278" s="3">
        <v>44449</v>
      </c>
      <c r="B278" s="4" t="s">
        <v>60</v>
      </c>
      <c r="C278" s="5">
        <v>2</v>
      </c>
      <c r="D278" s="5" t="s">
        <v>108</v>
      </c>
      <c r="E278" s="5" t="s">
        <v>106</v>
      </c>
      <c r="F278" s="6">
        <v>0</v>
      </c>
      <c r="G278" s="7" t="str">
        <f>VLOOKUP(InputData[[#This Row],[PRODUCT ID]],MasterData[],2,0)</f>
        <v>Glass</v>
      </c>
      <c r="H278" s="7" t="str">
        <f>VLOOKUP(InputData[[#This Row],[PRODUCT ID]],MasterData[],3,0)</f>
        <v>Category04</v>
      </c>
      <c r="I278" s="7" t="str">
        <f>VLOOKUP(InputData[[#This Row],[PRODUCT ID]],MasterData[],4,0)</f>
        <v>No.</v>
      </c>
      <c r="J278" s="7">
        <f>VLOOKUP(InputData[[#This Row],[PRODUCT ID]],MasterData[],5,0)</f>
        <v>18</v>
      </c>
      <c r="K278" s="8">
        <f>VLOOKUP(InputData[[#This Row],[PRODUCT ID]],MasterData[],6,0)</f>
        <v>24.66</v>
      </c>
      <c r="L278" s="8">
        <f>InputData[[#This Row],[BUYING PRIZE]]*InputData[[#This Row],[QUANTITY]]</f>
        <v>36</v>
      </c>
      <c r="M278" s="8">
        <f>InputData[[#This Row],[SELLING PRICE]]*InputData[[#This Row],[QUANTITY]]*(1-InputData[[#This Row],[DISCOUNT %]])</f>
        <v>49.32</v>
      </c>
      <c r="N278" s="7">
        <f>DAY(InputData[[#This Row],[DATE]])</f>
        <v>10</v>
      </c>
      <c r="O278" s="7" t="str">
        <f>TEXT(InputData[[#This Row],[DATE]],"MMM")</f>
        <v>Sep</v>
      </c>
      <c r="P278" s="7">
        <f>YEAR(InputData[[#This Row],[DATE]])</f>
        <v>2021</v>
      </c>
    </row>
    <row r="279" spans="1:16" x14ac:dyDescent="0.25">
      <c r="A279" s="3">
        <v>44476</v>
      </c>
      <c r="B279" s="4" t="s">
        <v>60</v>
      </c>
      <c r="C279" s="5">
        <v>6</v>
      </c>
      <c r="D279" s="5" t="s">
        <v>108</v>
      </c>
      <c r="E279" s="5" t="s">
        <v>107</v>
      </c>
      <c r="F279" s="6">
        <v>0</v>
      </c>
      <c r="G279" s="7" t="str">
        <f>VLOOKUP(InputData[[#This Row],[PRODUCT ID]],MasterData[],2,0)</f>
        <v>Glass</v>
      </c>
      <c r="H279" s="7" t="str">
        <f>VLOOKUP(InputData[[#This Row],[PRODUCT ID]],MasterData[],3,0)</f>
        <v>Category04</v>
      </c>
      <c r="I279" s="7" t="str">
        <f>VLOOKUP(InputData[[#This Row],[PRODUCT ID]],MasterData[],4,0)</f>
        <v>No.</v>
      </c>
      <c r="J279" s="7">
        <f>VLOOKUP(InputData[[#This Row],[PRODUCT ID]],MasterData[],5,0)</f>
        <v>18</v>
      </c>
      <c r="K279" s="8">
        <f>VLOOKUP(InputData[[#This Row],[PRODUCT ID]],MasterData[],6,0)</f>
        <v>24.66</v>
      </c>
      <c r="L279" s="8">
        <f>InputData[[#This Row],[BUYING PRIZE]]*InputData[[#This Row],[QUANTITY]]</f>
        <v>108</v>
      </c>
      <c r="M279" s="8">
        <f>InputData[[#This Row],[SELLING PRICE]]*InputData[[#This Row],[QUANTITY]]*(1-InputData[[#This Row],[DISCOUNT %]])</f>
        <v>147.96</v>
      </c>
      <c r="N279" s="7">
        <f>DAY(InputData[[#This Row],[DATE]])</f>
        <v>7</v>
      </c>
      <c r="O279" s="7" t="str">
        <f>TEXT(InputData[[#This Row],[DATE]],"MMM")</f>
        <v>Oct</v>
      </c>
      <c r="P279" s="7">
        <f>YEAR(InputData[[#This Row],[DATE]])</f>
        <v>2021</v>
      </c>
    </row>
    <row r="280" spans="1:16" x14ac:dyDescent="0.25">
      <c r="A280" s="3">
        <v>44551</v>
      </c>
      <c r="B280" s="4" t="s">
        <v>60</v>
      </c>
      <c r="C280" s="5">
        <v>10</v>
      </c>
      <c r="D280" s="5" t="s">
        <v>106</v>
      </c>
      <c r="E280" s="5" t="s">
        <v>107</v>
      </c>
      <c r="F280" s="6">
        <v>0</v>
      </c>
      <c r="G280" s="7" t="str">
        <f>VLOOKUP(InputData[[#This Row],[PRODUCT ID]],MasterData[],2,0)</f>
        <v>Glass</v>
      </c>
      <c r="H280" s="7" t="str">
        <f>VLOOKUP(InputData[[#This Row],[PRODUCT ID]],MasterData[],3,0)</f>
        <v>Category04</v>
      </c>
      <c r="I280" s="7" t="str">
        <f>VLOOKUP(InputData[[#This Row],[PRODUCT ID]],MasterData[],4,0)</f>
        <v>No.</v>
      </c>
      <c r="J280" s="7">
        <f>VLOOKUP(InputData[[#This Row],[PRODUCT ID]],MasterData[],5,0)</f>
        <v>18</v>
      </c>
      <c r="K280" s="8">
        <f>VLOOKUP(InputData[[#This Row],[PRODUCT ID]],MasterData[],6,0)</f>
        <v>24.66</v>
      </c>
      <c r="L280" s="8">
        <f>InputData[[#This Row],[BUYING PRIZE]]*InputData[[#This Row],[QUANTITY]]</f>
        <v>180</v>
      </c>
      <c r="M280" s="8">
        <f>InputData[[#This Row],[SELLING PRICE]]*InputData[[#This Row],[QUANTITY]]*(1-InputData[[#This Row],[DISCOUNT %]])</f>
        <v>246.6</v>
      </c>
      <c r="N280" s="7">
        <f>DAY(InputData[[#This Row],[DATE]])</f>
        <v>21</v>
      </c>
      <c r="O280" s="7" t="str">
        <f>TEXT(InputData[[#This Row],[DATE]],"MMM")</f>
        <v>Dec</v>
      </c>
      <c r="P280" s="7">
        <f>YEAR(InputData[[#This Row],[DATE]])</f>
        <v>2021</v>
      </c>
    </row>
    <row r="281" spans="1:16" x14ac:dyDescent="0.25">
      <c r="A281" s="3">
        <v>44606</v>
      </c>
      <c r="B281" s="4" t="s">
        <v>60</v>
      </c>
      <c r="C281" s="5">
        <v>8</v>
      </c>
      <c r="D281" s="5" t="s">
        <v>106</v>
      </c>
      <c r="E281" s="5" t="s">
        <v>107</v>
      </c>
      <c r="F281" s="6">
        <v>0</v>
      </c>
      <c r="G281" s="7" t="str">
        <f>VLOOKUP(InputData[[#This Row],[PRODUCT ID]],MasterData[],2,0)</f>
        <v>Glass</v>
      </c>
      <c r="H281" s="7" t="str">
        <f>VLOOKUP(InputData[[#This Row],[PRODUCT ID]],MasterData[],3,0)</f>
        <v>Category04</v>
      </c>
      <c r="I281" s="7" t="str">
        <f>VLOOKUP(InputData[[#This Row],[PRODUCT ID]],MasterData[],4,0)</f>
        <v>No.</v>
      </c>
      <c r="J281" s="7">
        <f>VLOOKUP(InputData[[#This Row],[PRODUCT ID]],MasterData[],5,0)</f>
        <v>18</v>
      </c>
      <c r="K281" s="8">
        <f>VLOOKUP(InputData[[#This Row],[PRODUCT ID]],MasterData[],6,0)</f>
        <v>24.66</v>
      </c>
      <c r="L281" s="8">
        <f>InputData[[#This Row],[BUYING PRIZE]]*InputData[[#This Row],[QUANTITY]]</f>
        <v>144</v>
      </c>
      <c r="M281" s="8">
        <f>InputData[[#This Row],[SELLING PRICE]]*InputData[[#This Row],[QUANTITY]]*(1-InputData[[#This Row],[DISCOUNT %]])</f>
        <v>197.28</v>
      </c>
      <c r="N281" s="7">
        <f>DAY(InputData[[#This Row],[DATE]])</f>
        <v>14</v>
      </c>
      <c r="O281" s="7" t="str">
        <f>TEXT(InputData[[#This Row],[DATE]],"MMM")</f>
        <v>Feb</v>
      </c>
      <c r="P281" s="7">
        <f>YEAR(InputData[[#This Row],[DATE]])</f>
        <v>2022</v>
      </c>
    </row>
    <row r="282" spans="1:16" x14ac:dyDescent="0.25">
      <c r="A282" s="3">
        <v>44624</v>
      </c>
      <c r="B282" s="4" t="s">
        <v>60</v>
      </c>
      <c r="C282" s="5">
        <v>13</v>
      </c>
      <c r="D282" s="5" t="s">
        <v>105</v>
      </c>
      <c r="E282" s="5" t="s">
        <v>106</v>
      </c>
      <c r="F282" s="6">
        <v>0</v>
      </c>
      <c r="G282" s="7" t="str">
        <f>VLOOKUP(InputData[[#This Row],[PRODUCT ID]],MasterData[],2,0)</f>
        <v>Glass</v>
      </c>
      <c r="H282" s="7" t="str">
        <f>VLOOKUP(InputData[[#This Row],[PRODUCT ID]],MasterData[],3,0)</f>
        <v>Category04</v>
      </c>
      <c r="I282" s="7" t="str">
        <f>VLOOKUP(InputData[[#This Row],[PRODUCT ID]],MasterData[],4,0)</f>
        <v>No.</v>
      </c>
      <c r="J282" s="7">
        <f>VLOOKUP(InputData[[#This Row],[PRODUCT ID]],MasterData[],5,0)</f>
        <v>18</v>
      </c>
      <c r="K282" s="8">
        <f>VLOOKUP(InputData[[#This Row],[PRODUCT ID]],MasterData[],6,0)</f>
        <v>24.66</v>
      </c>
      <c r="L282" s="8">
        <f>InputData[[#This Row],[BUYING PRIZE]]*InputData[[#This Row],[QUANTITY]]</f>
        <v>234</v>
      </c>
      <c r="M282" s="8">
        <f>InputData[[#This Row],[SELLING PRICE]]*InputData[[#This Row],[QUANTITY]]*(1-InputData[[#This Row],[DISCOUNT %]])</f>
        <v>320.58</v>
      </c>
      <c r="N282" s="7">
        <f>DAY(InputData[[#This Row],[DATE]])</f>
        <v>4</v>
      </c>
      <c r="O282" s="7" t="str">
        <f>TEXT(InputData[[#This Row],[DATE]],"MMM")</f>
        <v>Mar</v>
      </c>
      <c r="P282" s="7">
        <f>YEAR(InputData[[#This Row],[DATE]])</f>
        <v>2022</v>
      </c>
    </row>
    <row r="283" spans="1:16" x14ac:dyDescent="0.25">
      <c r="A283" s="3">
        <v>44634</v>
      </c>
      <c r="B283" s="4" t="s">
        <v>60</v>
      </c>
      <c r="C283" s="5">
        <v>13</v>
      </c>
      <c r="D283" s="5" t="s">
        <v>108</v>
      </c>
      <c r="E283" s="5" t="s">
        <v>106</v>
      </c>
      <c r="F283" s="6">
        <v>0</v>
      </c>
      <c r="G283" s="7" t="str">
        <f>VLOOKUP(InputData[[#This Row],[PRODUCT ID]],MasterData[],2,0)</f>
        <v>Glass</v>
      </c>
      <c r="H283" s="7" t="str">
        <f>VLOOKUP(InputData[[#This Row],[PRODUCT ID]],MasterData[],3,0)</f>
        <v>Category04</v>
      </c>
      <c r="I283" s="7" t="str">
        <f>VLOOKUP(InputData[[#This Row],[PRODUCT ID]],MasterData[],4,0)</f>
        <v>No.</v>
      </c>
      <c r="J283" s="7">
        <f>VLOOKUP(InputData[[#This Row],[PRODUCT ID]],MasterData[],5,0)</f>
        <v>18</v>
      </c>
      <c r="K283" s="8">
        <f>VLOOKUP(InputData[[#This Row],[PRODUCT ID]],MasterData[],6,0)</f>
        <v>24.66</v>
      </c>
      <c r="L283" s="8">
        <f>InputData[[#This Row],[BUYING PRIZE]]*InputData[[#This Row],[QUANTITY]]</f>
        <v>234</v>
      </c>
      <c r="M283" s="8">
        <f>InputData[[#This Row],[SELLING PRICE]]*InputData[[#This Row],[QUANTITY]]*(1-InputData[[#This Row],[DISCOUNT %]])</f>
        <v>320.58</v>
      </c>
      <c r="N283" s="7">
        <f>DAY(InputData[[#This Row],[DATE]])</f>
        <v>14</v>
      </c>
      <c r="O283" s="7" t="str">
        <f>TEXT(InputData[[#This Row],[DATE]],"MMM")</f>
        <v>Mar</v>
      </c>
      <c r="P283" s="7">
        <f>YEAR(InputData[[#This Row],[DATE]])</f>
        <v>2022</v>
      </c>
    </row>
    <row r="284" spans="1:16" x14ac:dyDescent="0.25">
      <c r="A284" s="3">
        <v>44658</v>
      </c>
      <c r="B284" s="4" t="s">
        <v>60</v>
      </c>
      <c r="C284" s="5">
        <v>7</v>
      </c>
      <c r="D284" s="5" t="s">
        <v>108</v>
      </c>
      <c r="E284" s="5" t="s">
        <v>106</v>
      </c>
      <c r="F284" s="6">
        <v>0</v>
      </c>
      <c r="G284" s="7" t="str">
        <f>VLOOKUP(InputData[[#This Row],[PRODUCT ID]],MasterData[],2,0)</f>
        <v>Glass</v>
      </c>
      <c r="H284" s="7" t="str">
        <f>VLOOKUP(InputData[[#This Row],[PRODUCT ID]],MasterData[],3,0)</f>
        <v>Category04</v>
      </c>
      <c r="I284" s="7" t="str">
        <f>VLOOKUP(InputData[[#This Row],[PRODUCT ID]],MasterData[],4,0)</f>
        <v>No.</v>
      </c>
      <c r="J284" s="7">
        <f>VLOOKUP(InputData[[#This Row],[PRODUCT ID]],MasterData[],5,0)</f>
        <v>18</v>
      </c>
      <c r="K284" s="8">
        <f>VLOOKUP(InputData[[#This Row],[PRODUCT ID]],MasterData[],6,0)</f>
        <v>24.66</v>
      </c>
      <c r="L284" s="8">
        <f>InputData[[#This Row],[BUYING PRIZE]]*InputData[[#This Row],[QUANTITY]]</f>
        <v>126</v>
      </c>
      <c r="M284" s="8">
        <f>InputData[[#This Row],[SELLING PRICE]]*InputData[[#This Row],[QUANTITY]]*(1-InputData[[#This Row],[DISCOUNT %]])</f>
        <v>172.62</v>
      </c>
      <c r="N284" s="7">
        <f>DAY(InputData[[#This Row],[DATE]])</f>
        <v>7</v>
      </c>
      <c r="O284" s="7" t="str">
        <f>TEXT(InputData[[#This Row],[DATE]],"MMM")</f>
        <v>Apr</v>
      </c>
      <c r="P284" s="7">
        <f>YEAR(InputData[[#This Row],[DATE]])</f>
        <v>2022</v>
      </c>
    </row>
    <row r="285" spans="1:16" x14ac:dyDescent="0.25">
      <c r="A285" s="3">
        <v>44672</v>
      </c>
      <c r="B285" s="4" t="s">
        <v>60</v>
      </c>
      <c r="C285" s="5">
        <v>14</v>
      </c>
      <c r="D285" s="5" t="s">
        <v>106</v>
      </c>
      <c r="E285" s="5" t="s">
        <v>106</v>
      </c>
      <c r="F285" s="6">
        <v>0</v>
      </c>
      <c r="G285" s="7" t="str">
        <f>VLOOKUP(InputData[[#This Row],[PRODUCT ID]],MasterData[],2,0)</f>
        <v>Glass</v>
      </c>
      <c r="H285" s="7" t="str">
        <f>VLOOKUP(InputData[[#This Row],[PRODUCT ID]],MasterData[],3,0)</f>
        <v>Category04</v>
      </c>
      <c r="I285" s="7" t="str">
        <f>VLOOKUP(InputData[[#This Row],[PRODUCT ID]],MasterData[],4,0)</f>
        <v>No.</v>
      </c>
      <c r="J285" s="7">
        <f>VLOOKUP(InputData[[#This Row],[PRODUCT ID]],MasterData[],5,0)</f>
        <v>18</v>
      </c>
      <c r="K285" s="8">
        <f>VLOOKUP(InputData[[#This Row],[PRODUCT ID]],MasterData[],6,0)</f>
        <v>24.66</v>
      </c>
      <c r="L285" s="8">
        <f>InputData[[#This Row],[BUYING PRIZE]]*InputData[[#This Row],[QUANTITY]]</f>
        <v>252</v>
      </c>
      <c r="M285" s="8">
        <f>InputData[[#This Row],[SELLING PRICE]]*InputData[[#This Row],[QUANTITY]]*(1-InputData[[#This Row],[DISCOUNT %]])</f>
        <v>345.24</v>
      </c>
      <c r="N285" s="7">
        <f>DAY(InputData[[#This Row],[DATE]])</f>
        <v>21</v>
      </c>
      <c r="O285" s="7" t="str">
        <f>TEXT(InputData[[#This Row],[DATE]],"MMM")</f>
        <v>Apr</v>
      </c>
      <c r="P285" s="7">
        <f>YEAR(InputData[[#This Row],[DATE]])</f>
        <v>2022</v>
      </c>
    </row>
    <row r="286" spans="1:16" x14ac:dyDescent="0.25">
      <c r="A286" s="3">
        <v>44725</v>
      </c>
      <c r="B286" s="4" t="s">
        <v>60</v>
      </c>
      <c r="C286" s="5">
        <v>6</v>
      </c>
      <c r="D286" s="5" t="s">
        <v>108</v>
      </c>
      <c r="E286" s="5" t="s">
        <v>107</v>
      </c>
      <c r="F286" s="6">
        <v>0</v>
      </c>
      <c r="G286" s="7" t="str">
        <f>VLOOKUP(InputData[[#This Row],[PRODUCT ID]],MasterData[],2,0)</f>
        <v>Glass</v>
      </c>
      <c r="H286" s="7" t="str">
        <f>VLOOKUP(InputData[[#This Row],[PRODUCT ID]],MasterData[],3,0)</f>
        <v>Category04</v>
      </c>
      <c r="I286" s="7" t="str">
        <f>VLOOKUP(InputData[[#This Row],[PRODUCT ID]],MasterData[],4,0)</f>
        <v>No.</v>
      </c>
      <c r="J286" s="7">
        <f>VLOOKUP(InputData[[#This Row],[PRODUCT ID]],MasterData[],5,0)</f>
        <v>18</v>
      </c>
      <c r="K286" s="8">
        <f>VLOOKUP(InputData[[#This Row],[PRODUCT ID]],MasterData[],6,0)</f>
        <v>24.66</v>
      </c>
      <c r="L286" s="8">
        <f>InputData[[#This Row],[BUYING PRIZE]]*InputData[[#This Row],[QUANTITY]]</f>
        <v>108</v>
      </c>
      <c r="M286" s="8">
        <f>InputData[[#This Row],[SELLING PRICE]]*InputData[[#This Row],[QUANTITY]]*(1-InputData[[#This Row],[DISCOUNT %]])</f>
        <v>147.96</v>
      </c>
      <c r="N286" s="7">
        <f>DAY(InputData[[#This Row],[DATE]])</f>
        <v>13</v>
      </c>
      <c r="O286" s="7" t="str">
        <f>TEXT(InputData[[#This Row],[DATE]],"MMM")</f>
        <v>Jun</v>
      </c>
      <c r="P286" s="7">
        <f>YEAR(InputData[[#This Row],[DATE]])</f>
        <v>2022</v>
      </c>
    </row>
    <row r="287" spans="1:16" x14ac:dyDescent="0.25">
      <c r="A287" s="3">
        <v>44768</v>
      </c>
      <c r="B287" s="4" t="s">
        <v>60</v>
      </c>
      <c r="C287" s="5">
        <v>1</v>
      </c>
      <c r="D287" s="5" t="s">
        <v>106</v>
      </c>
      <c r="E287" s="5" t="s">
        <v>107</v>
      </c>
      <c r="F287" s="6">
        <v>0</v>
      </c>
      <c r="G287" s="7" t="str">
        <f>VLOOKUP(InputData[[#This Row],[PRODUCT ID]],MasterData[],2,0)</f>
        <v>Glass</v>
      </c>
      <c r="H287" s="7" t="str">
        <f>VLOOKUP(InputData[[#This Row],[PRODUCT ID]],MasterData[],3,0)</f>
        <v>Category04</v>
      </c>
      <c r="I287" s="7" t="str">
        <f>VLOOKUP(InputData[[#This Row],[PRODUCT ID]],MasterData[],4,0)</f>
        <v>No.</v>
      </c>
      <c r="J287" s="7">
        <f>VLOOKUP(InputData[[#This Row],[PRODUCT ID]],MasterData[],5,0)</f>
        <v>18</v>
      </c>
      <c r="K287" s="8">
        <f>VLOOKUP(InputData[[#This Row],[PRODUCT ID]],MasterData[],6,0)</f>
        <v>24.66</v>
      </c>
      <c r="L287" s="8">
        <f>InputData[[#This Row],[BUYING PRIZE]]*InputData[[#This Row],[QUANTITY]]</f>
        <v>18</v>
      </c>
      <c r="M287" s="8">
        <f>InputData[[#This Row],[SELLING PRICE]]*InputData[[#This Row],[QUANTITY]]*(1-InputData[[#This Row],[DISCOUNT %]])</f>
        <v>24.66</v>
      </c>
      <c r="N287" s="7">
        <f>DAY(InputData[[#This Row],[DATE]])</f>
        <v>26</v>
      </c>
      <c r="O287" s="7" t="str">
        <f>TEXT(InputData[[#This Row],[DATE]],"MMM")</f>
        <v>Jul</v>
      </c>
      <c r="P287" s="7">
        <f>YEAR(InputData[[#This Row],[DATE]])</f>
        <v>2022</v>
      </c>
    </row>
    <row r="288" spans="1:16" x14ac:dyDescent="0.25">
      <c r="A288" s="3">
        <v>44822</v>
      </c>
      <c r="B288" s="4" t="s">
        <v>60</v>
      </c>
      <c r="C288" s="5">
        <v>14</v>
      </c>
      <c r="D288" s="5" t="s">
        <v>106</v>
      </c>
      <c r="E288" s="5" t="s">
        <v>107</v>
      </c>
      <c r="F288" s="6">
        <v>0</v>
      </c>
      <c r="G288" s="7" t="str">
        <f>VLOOKUP(InputData[[#This Row],[PRODUCT ID]],MasterData[],2,0)</f>
        <v>Glass</v>
      </c>
      <c r="H288" s="7" t="str">
        <f>VLOOKUP(InputData[[#This Row],[PRODUCT ID]],MasterData[],3,0)</f>
        <v>Category04</v>
      </c>
      <c r="I288" s="7" t="str">
        <f>VLOOKUP(InputData[[#This Row],[PRODUCT ID]],MasterData[],4,0)</f>
        <v>No.</v>
      </c>
      <c r="J288" s="7">
        <f>VLOOKUP(InputData[[#This Row],[PRODUCT ID]],MasterData[],5,0)</f>
        <v>18</v>
      </c>
      <c r="K288" s="8">
        <f>VLOOKUP(InputData[[#This Row],[PRODUCT ID]],MasterData[],6,0)</f>
        <v>24.66</v>
      </c>
      <c r="L288" s="8">
        <f>InputData[[#This Row],[BUYING PRIZE]]*InputData[[#This Row],[QUANTITY]]</f>
        <v>252</v>
      </c>
      <c r="M288" s="8">
        <f>InputData[[#This Row],[SELLING PRICE]]*InputData[[#This Row],[QUANTITY]]*(1-InputData[[#This Row],[DISCOUNT %]])</f>
        <v>345.24</v>
      </c>
      <c r="N288" s="7">
        <f>DAY(InputData[[#This Row],[DATE]])</f>
        <v>18</v>
      </c>
      <c r="O288" s="7" t="str">
        <f>TEXT(InputData[[#This Row],[DATE]],"MMM")</f>
        <v>Sep</v>
      </c>
      <c r="P288" s="7">
        <f>YEAR(InputData[[#This Row],[DATE]])</f>
        <v>2022</v>
      </c>
    </row>
    <row r="289" spans="1:16" x14ac:dyDescent="0.25">
      <c r="A289" s="3">
        <v>44825</v>
      </c>
      <c r="B289" s="4" t="s">
        <v>60</v>
      </c>
      <c r="C289" s="5">
        <v>5</v>
      </c>
      <c r="D289" s="5" t="s">
        <v>108</v>
      </c>
      <c r="E289" s="5" t="s">
        <v>107</v>
      </c>
      <c r="F289" s="6">
        <v>0</v>
      </c>
      <c r="G289" s="7" t="str">
        <f>VLOOKUP(InputData[[#This Row],[PRODUCT ID]],MasterData[],2,0)</f>
        <v>Glass</v>
      </c>
      <c r="H289" s="7" t="str">
        <f>VLOOKUP(InputData[[#This Row],[PRODUCT ID]],MasterData[],3,0)</f>
        <v>Category04</v>
      </c>
      <c r="I289" s="7" t="str">
        <f>VLOOKUP(InputData[[#This Row],[PRODUCT ID]],MasterData[],4,0)</f>
        <v>No.</v>
      </c>
      <c r="J289" s="7">
        <f>VLOOKUP(InputData[[#This Row],[PRODUCT ID]],MasterData[],5,0)</f>
        <v>18</v>
      </c>
      <c r="K289" s="8">
        <f>VLOOKUP(InputData[[#This Row],[PRODUCT ID]],MasterData[],6,0)</f>
        <v>24.66</v>
      </c>
      <c r="L289" s="8">
        <f>InputData[[#This Row],[BUYING PRIZE]]*InputData[[#This Row],[QUANTITY]]</f>
        <v>90</v>
      </c>
      <c r="M289" s="8">
        <f>InputData[[#This Row],[SELLING PRICE]]*InputData[[#This Row],[QUANTITY]]*(1-InputData[[#This Row],[DISCOUNT %]])</f>
        <v>123.3</v>
      </c>
      <c r="N289" s="7">
        <f>DAY(InputData[[#This Row],[DATE]])</f>
        <v>21</v>
      </c>
      <c r="O289" s="7" t="str">
        <f>TEXT(InputData[[#This Row],[DATE]],"MMM")</f>
        <v>Sep</v>
      </c>
      <c r="P289" s="7">
        <f>YEAR(InputData[[#This Row],[DATE]])</f>
        <v>2022</v>
      </c>
    </row>
    <row r="290" spans="1:16" x14ac:dyDescent="0.25">
      <c r="A290" s="3">
        <v>44899</v>
      </c>
      <c r="B290" s="4" t="s">
        <v>60</v>
      </c>
      <c r="C290" s="5">
        <v>10</v>
      </c>
      <c r="D290" s="5" t="s">
        <v>108</v>
      </c>
      <c r="E290" s="5" t="s">
        <v>107</v>
      </c>
      <c r="F290" s="6">
        <v>0</v>
      </c>
      <c r="G290" s="7" t="str">
        <f>VLOOKUP(InputData[[#This Row],[PRODUCT ID]],MasterData[],2,0)</f>
        <v>Glass</v>
      </c>
      <c r="H290" s="7" t="str">
        <f>VLOOKUP(InputData[[#This Row],[PRODUCT ID]],MasterData[],3,0)</f>
        <v>Category04</v>
      </c>
      <c r="I290" s="7" t="str">
        <f>VLOOKUP(InputData[[#This Row],[PRODUCT ID]],MasterData[],4,0)</f>
        <v>No.</v>
      </c>
      <c r="J290" s="7">
        <f>VLOOKUP(InputData[[#This Row],[PRODUCT ID]],MasterData[],5,0)</f>
        <v>18</v>
      </c>
      <c r="K290" s="8">
        <f>VLOOKUP(InputData[[#This Row],[PRODUCT ID]],MasterData[],6,0)</f>
        <v>24.66</v>
      </c>
      <c r="L290" s="8">
        <f>InputData[[#This Row],[BUYING PRIZE]]*InputData[[#This Row],[QUANTITY]]</f>
        <v>180</v>
      </c>
      <c r="M290" s="8">
        <f>InputData[[#This Row],[SELLING PRICE]]*InputData[[#This Row],[QUANTITY]]*(1-InputData[[#This Row],[DISCOUNT %]])</f>
        <v>246.6</v>
      </c>
      <c r="N290" s="7">
        <f>DAY(InputData[[#This Row],[DATE]])</f>
        <v>4</v>
      </c>
      <c r="O290" s="7" t="str">
        <f>TEXT(InputData[[#This Row],[DATE]],"MMM")</f>
        <v>Dec</v>
      </c>
      <c r="P290" s="7">
        <f>YEAR(InputData[[#This Row],[DATE]])</f>
        <v>2022</v>
      </c>
    </row>
    <row r="291" spans="1:16" x14ac:dyDescent="0.25">
      <c r="A291" s="3">
        <v>44242</v>
      </c>
      <c r="B291" s="4" t="s">
        <v>63</v>
      </c>
      <c r="C291" s="5">
        <v>4</v>
      </c>
      <c r="D291" s="5" t="s">
        <v>108</v>
      </c>
      <c r="E291" s="5" t="s">
        <v>106</v>
      </c>
      <c r="F291" s="6">
        <v>0</v>
      </c>
      <c r="G291" s="7" t="str">
        <f>VLOOKUP(InputData[[#This Row],[PRODUCT ID]],MasterData[],2,0)</f>
        <v>Liquid soap</v>
      </c>
      <c r="H291" s="7" t="str">
        <f>VLOOKUP(InputData[[#This Row],[PRODUCT ID]],MasterData[],3,0)</f>
        <v>Category04</v>
      </c>
      <c r="I291" s="7" t="str">
        <f>VLOOKUP(InputData[[#This Row],[PRODUCT ID]],MasterData[],4,0)</f>
        <v>Lt</v>
      </c>
      <c r="J291" s="7">
        <f>VLOOKUP(InputData[[#This Row],[PRODUCT ID]],MasterData[],5,0)</f>
        <v>48</v>
      </c>
      <c r="K291" s="8">
        <f>VLOOKUP(InputData[[#This Row],[PRODUCT ID]],MasterData[],6,0)</f>
        <v>57.120000000000005</v>
      </c>
      <c r="L291" s="8">
        <f>InputData[[#This Row],[BUYING PRIZE]]*InputData[[#This Row],[QUANTITY]]</f>
        <v>192</v>
      </c>
      <c r="M291" s="8">
        <f>InputData[[#This Row],[SELLING PRICE]]*InputData[[#This Row],[QUANTITY]]*(1-InputData[[#This Row],[DISCOUNT %]])</f>
        <v>228.48000000000002</v>
      </c>
      <c r="N291" s="7">
        <f>DAY(InputData[[#This Row],[DATE]])</f>
        <v>15</v>
      </c>
      <c r="O291" s="7" t="str">
        <f>TEXT(InputData[[#This Row],[DATE]],"MMM")</f>
        <v>Feb</v>
      </c>
      <c r="P291" s="7">
        <f>YEAR(InputData[[#This Row],[DATE]])</f>
        <v>2021</v>
      </c>
    </row>
    <row r="292" spans="1:16" x14ac:dyDescent="0.25">
      <c r="A292" s="3">
        <v>44263</v>
      </c>
      <c r="B292" s="4" t="s">
        <v>63</v>
      </c>
      <c r="C292" s="5">
        <v>6</v>
      </c>
      <c r="D292" s="5" t="s">
        <v>106</v>
      </c>
      <c r="E292" s="5" t="s">
        <v>107</v>
      </c>
      <c r="F292" s="6">
        <v>0</v>
      </c>
      <c r="G292" s="7" t="str">
        <f>VLOOKUP(InputData[[#This Row],[PRODUCT ID]],MasterData[],2,0)</f>
        <v>Liquid soap</v>
      </c>
      <c r="H292" s="7" t="str">
        <f>VLOOKUP(InputData[[#This Row],[PRODUCT ID]],MasterData[],3,0)</f>
        <v>Category04</v>
      </c>
      <c r="I292" s="7" t="str">
        <f>VLOOKUP(InputData[[#This Row],[PRODUCT ID]],MasterData[],4,0)</f>
        <v>Lt</v>
      </c>
      <c r="J292" s="7">
        <f>VLOOKUP(InputData[[#This Row],[PRODUCT ID]],MasterData[],5,0)</f>
        <v>48</v>
      </c>
      <c r="K292" s="8">
        <f>VLOOKUP(InputData[[#This Row],[PRODUCT ID]],MasterData[],6,0)</f>
        <v>57.120000000000005</v>
      </c>
      <c r="L292" s="8">
        <f>InputData[[#This Row],[BUYING PRIZE]]*InputData[[#This Row],[QUANTITY]]</f>
        <v>288</v>
      </c>
      <c r="M292" s="8">
        <f>InputData[[#This Row],[SELLING PRICE]]*InputData[[#This Row],[QUANTITY]]*(1-InputData[[#This Row],[DISCOUNT %]])</f>
        <v>342.72</v>
      </c>
      <c r="N292" s="7">
        <f>DAY(InputData[[#This Row],[DATE]])</f>
        <v>8</v>
      </c>
      <c r="O292" s="7" t="str">
        <f>TEXT(InputData[[#This Row],[DATE]],"MMM")</f>
        <v>Mar</v>
      </c>
      <c r="P292" s="7">
        <f>YEAR(InputData[[#This Row],[DATE]])</f>
        <v>2021</v>
      </c>
    </row>
    <row r="293" spans="1:16" x14ac:dyDescent="0.25">
      <c r="A293" s="3">
        <v>44298</v>
      </c>
      <c r="B293" s="4" t="s">
        <v>63</v>
      </c>
      <c r="C293" s="5">
        <v>9</v>
      </c>
      <c r="D293" s="5" t="s">
        <v>108</v>
      </c>
      <c r="E293" s="5" t="s">
        <v>106</v>
      </c>
      <c r="F293" s="6">
        <v>0</v>
      </c>
      <c r="G293" s="7" t="str">
        <f>VLOOKUP(InputData[[#This Row],[PRODUCT ID]],MasterData[],2,0)</f>
        <v>Liquid soap</v>
      </c>
      <c r="H293" s="7" t="str">
        <f>VLOOKUP(InputData[[#This Row],[PRODUCT ID]],MasterData[],3,0)</f>
        <v>Category04</v>
      </c>
      <c r="I293" s="7" t="str">
        <f>VLOOKUP(InputData[[#This Row],[PRODUCT ID]],MasterData[],4,0)</f>
        <v>Lt</v>
      </c>
      <c r="J293" s="7">
        <f>VLOOKUP(InputData[[#This Row],[PRODUCT ID]],MasterData[],5,0)</f>
        <v>48</v>
      </c>
      <c r="K293" s="8">
        <f>VLOOKUP(InputData[[#This Row],[PRODUCT ID]],MasterData[],6,0)</f>
        <v>57.120000000000005</v>
      </c>
      <c r="L293" s="8">
        <f>InputData[[#This Row],[BUYING PRIZE]]*InputData[[#This Row],[QUANTITY]]</f>
        <v>432</v>
      </c>
      <c r="M293" s="8">
        <f>InputData[[#This Row],[SELLING PRICE]]*InputData[[#This Row],[QUANTITY]]*(1-InputData[[#This Row],[DISCOUNT %]])</f>
        <v>514.08000000000004</v>
      </c>
      <c r="N293" s="7">
        <f>DAY(InputData[[#This Row],[DATE]])</f>
        <v>12</v>
      </c>
      <c r="O293" s="7" t="str">
        <f>TEXT(InputData[[#This Row],[DATE]],"MMM")</f>
        <v>Apr</v>
      </c>
      <c r="P293" s="7">
        <f>YEAR(InputData[[#This Row],[DATE]])</f>
        <v>2021</v>
      </c>
    </row>
    <row r="294" spans="1:16" x14ac:dyDescent="0.25">
      <c r="A294" s="3">
        <v>44395</v>
      </c>
      <c r="B294" s="4" t="s">
        <v>63</v>
      </c>
      <c r="C294" s="5">
        <v>14</v>
      </c>
      <c r="D294" s="5" t="s">
        <v>106</v>
      </c>
      <c r="E294" s="5" t="s">
        <v>106</v>
      </c>
      <c r="F294" s="6">
        <v>0</v>
      </c>
      <c r="G294" s="7" t="str">
        <f>VLOOKUP(InputData[[#This Row],[PRODUCT ID]],MasterData[],2,0)</f>
        <v>Liquid soap</v>
      </c>
      <c r="H294" s="7" t="str">
        <f>VLOOKUP(InputData[[#This Row],[PRODUCT ID]],MasterData[],3,0)</f>
        <v>Category04</v>
      </c>
      <c r="I294" s="7" t="str">
        <f>VLOOKUP(InputData[[#This Row],[PRODUCT ID]],MasterData[],4,0)</f>
        <v>Lt</v>
      </c>
      <c r="J294" s="7">
        <f>VLOOKUP(InputData[[#This Row],[PRODUCT ID]],MasterData[],5,0)</f>
        <v>48</v>
      </c>
      <c r="K294" s="8">
        <f>VLOOKUP(InputData[[#This Row],[PRODUCT ID]],MasterData[],6,0)</f>
        <v>57.120000000000005</v>
      </c>
      <c r="L294" s="8">
        <f>InputData[[#This Row],[BUYING PRIZE]]*InputData[[#This Row],[QUANTITY]]</f>
        <v>672</v>
      </c>
      <c r="M294" s="8">
        <f>InputData[[#This Row],[SELLING PRICE]]*InputData[[#This Row],[QUANTITY]]*(1-InputData[[#This Row],[DISCOUNT %]])</f>
        <v>799.68000000000006</v>
      </c>
      <c r="N294" s="7">
        <f>DAY(InputData[[#This Row],[DATE]])</f>
        <v>18</v>
      </c>
      <c r="O294" s="7" t="str">
        <f>TEXT(InputData[[#This Row],[DATE]],"MMM")</f>
        <v>Jul</v>
      </c>
      <c r="P294" s="7">
        <f>YEAR(InputData[[#This Row],[DATE]])</f>
        <v>2021</v>
      </c>
    </row>
    <row r="295" spans="1:16" x14ac:dyDescent="0.25">
      <c r="A295" s="3">
        <v>44421</v>
      </c>
      <c r="B295" s="4" t="s">
        <v>63</v>
      </c>
      <c r="C295" s="5">
        <v>9</v>
      </c>
      <c r="D295" s="5" t="s">
        <v>108</v>
      </c>
      <c r="E295" s="5" t="s">
        <v>106</v>
      </c>
      <c r="F295" s="6">
        <v>0</v>
      </c>
      <c r="G295" s="7" t="str">
        <f>VLOOKUP(InputData[[#This Row],[PRODUCT ID]],MasterData[],2,0)</f>
        <v>Liquid soap</v>
      </c>
      <c r="H295" s="7" t="str">
        <f>VLOOKUP(InputData[[#This Row],[PRODUCT ID]],MasterData[],3,0)</f>
        <v>Category04</v>
      </c>
      <c r="I295" s="7" t="str">
        <f>VLOOKUP(InputData[[#This Row],[PRODUCT ID]],MasterData[],4,0)</f>
        <v>Lt</v>
      </c>
      <c r="J295" s="7">
        <f>VLOOKUP(InputData[[#This Row],[PRODUCT ID]],MasterData[],5,0)</f>
        <v>48</v>
      </c>
      <c r="K295" s="8">
        <f>VLOOKUP(InputData[[#This Row],[PRODUCT ID]],MasterData[],6,0)</f>
        <v>57.120000000000005</v>
      </c>
      <c r="L295" s="8">
        <f>InputData[[#This Row],[BUYING PRIZE]]*InputData[[#This Row],[QUANTITY]]</f>
        <v>432</v>
      </c>
      <c r="M295" s="8">
        <f>InputData[[#This Row],[SELLING PRICE]]*InputData[[#This Row],[QUANTITY]]*(1-InputData[[#This Row],[DISCOUNT %]])</f>
        <v>514.08000000000004</v>
      </c>
      <c r="N295" s="7">
        <f>DAY(InputData[[#This Row],[DATE]])</f>
        <v>13</v>
      </c>
      <c r="O295" s="7" t="str">
        <f>TEXT(InputData[[#This Row],[DATE]],"MMM")</f>
        <v>Aug</v>
      </c>
      <c r="P295" s="7">
        <f>YEAR(InputData[[#This Row],[DATE]])</f>
        <v>2021</v>
      </c>
    </row>
    <row r="296" spans="1:16" x14ac:dyDescent="0.25">
      <c r="A296" s="3">
        <v>44481</v>
      </c>
      <c r="B296" s="4" t="s">
        <v>63</v>
      </c>
      <c r="C296" s="5">
        <v>8</v>
      </c>
      <c r="D296" s="5" t="s">
        <v>106</v>
      </c>
      <c r="E296" s="5" t="s">
        <v>106</v>
      </c>
      <c r="F296" s="6">
        <v>0</v>
      </c>
      <c r="G296" s="7" t="str">
        <f>VLOOKUP(InputData[[#This Row],[PRODUCT ID]],MasterData[],2,0)</f>
        <v>Liquid soap</v>
      </c>
      <c r="H296" s="7" t="str">
        <f>VLOOKUP(InputData[[#This Row],[PRODUCT ID]],MasterData[],3,0)</f>
        <v>Category04</v>
      </c>
      <c r="I296" s="7" t="str">
        <f>VLOOKUP(InputData[[#This Row],[PRODUCT ID]],MasterData[],4,0)</f>
        <v>Lt</v>
      </c>
      <c r="J296" s="7">
        <f>VLOOKUP(InputData[[#This Row],[PRODUCT ID]],MasterData[],5,0)</f>
        <v>48</v>
      </c>
      <c r="K296" s="8">
        <f>VLOOKUP(InputData[[#This Row],[PRODUCT ID]],MasterData[],6,0)</f>
        <v>57.120000000000005</v>
      </c>
      <c r="L296" s="8">
        <f>InputData[[#This Row],[BUYING PRIZE]]*InputData[[#This Row],[QUANTITY]]</f>
        <v>384</v>
      </c>
      <c r="M296" s="8">
        <f>InputData[[#This Row],[SELLING PRICE]]*InputData[[#This Row],[QUANTITY]]*(1-InputData[[#This Row],[DISCOUNT %]])</f>
        <v>456.96000000000004</v>
      </c>
      <c r="N296" s="7">
        <f>DAY(InputData[[#This Row],[DATE]])</f>
        <v>12</v>
      </c>
      <c r="O296" s="7" t="str">
        <f>TEXT(InputData[[#This Row],[DATE]],"MMM")</f>
        <v>Oct</v>
      </c>
      <c r="P296" s="7">
        <f>YEAR(InputData[[#This Row],[DATE]])</f>
        <v>2021</v>
      </c>
    </row>
    <row r="297" spans="1:16" x14ac:dyDescent="0.25">
      <c r="A297" s="3">
        <v>44638</v>
      </c>
      <c r="B297" s="4" t="s">
        <v>63</v>
      </c>
      <c r="C297" s="5">
        <v>10</v>
      </c>
      <c r="D297" s="5" t="s">
        <v>108</v>
      </c>
      <c r="E297" s="5" t="s">
        <v>107</v>
      </c>
      <c r="F297" s="6">
        <v>0</v>
      </c>
      <c r="G297" s="7" t="str">
        <f>VLOOKUP(InputData[[#This Row],[PRODUCT ID]],MasterData[],2,0)</f>
        <v>Liquid soap</v>
      </c>
      <c r="H297" s="7" t="str">
        <f>VLOOKUP(InputData[[#This Row],[PRODUCT ID]],MasterData[],3,0)</f>
        <v>Category04</v>
      </c>
      <c r="I297" s="7" t="str">
        <f>VLOOKUP(InputData[[#This Row],[PRODUCT ID]],MasterData[],4,0)</f>
        <v>Lt</v>
      </c>
      <c r="J297" s="7">
        <f>VLOOKUP(InputData[[#This Row],[PRODUCT ID]],MasterData[],5,0)</f>
        <v>48</v>
      </c>
      <c r="K297" s="8">
        <f>VLOOKUP(InputData[[#This Row],[PRODUCT ID]],MasterData[],6,0)</f>
        <v>57.120000000000005</v>
      </c>
      <c r="L297" s="8">
        <f>InputData[[#This Row],[BUYING PRIZE]]*InputData[[#This Row],[QUANTITY]]</f>
        <v>480</v>
      </c>
      <c r="M297" s="8">
        <f>InputData[[#This Row],[SELLING PRICE]]*InputData[[#This Row],[QUANTITY]]*(1-InputData[[#This Row],[DISCOUNT %]])</f>
        <v>571.20000000000005</v>
      </c>
      <c r="N297" s="7">
        <f>DAY(InputData[[#This Row],[DATE]])</f>
        <v>18</v>
      </c>
      <c r="O297" s="7" t="str">
        <f>TEXT(InputData[[#This Row],[DATE]],"MMM")</f>
        <v>Mar</v>
      </c>
      <c r="P297" s="7">
        <f>YEAR(InputData[[#This Row],[DATE]])</f>
        <v>2022</v>
      </c>
    </row>
    <row r="298" spans="1:16" x14ac:dyDescent="0.25">
      <c r="A298" s="3">
        <v>44677</v>
      </c>
      <c r="B298" s="4" t="s">
        <v>63</v>
      </c>
      <c r="C298" s="5">
        <v>2</v>
      </c>
      <c r="D298" s="5" t="s">
        <v>108</v>
      </c>
      <c r="E298" s="5" t="s">
        <v>107</v>
      </c>
      <c r="F298" s="6">
        <v>0</v>
      </c>
      <c r="G298" s="7" t="str">
        <f>VLOOKUP(InputData[[#This Row],[PRODUCT ID]],MasterData[],2,0)</f>
        <v>Liquid soap</v>
      </c>
      <c r="H298" s="7" t="str">
        <f>VLOOKUP(InputData[[#This Row],[PRODUCT ID]],MasterData[],3,0)</f>
        <v>Category04</v>
      </c>
      <c r="I298" s="7" t="str">
        <f>VLOOKUP(InputData[[#This Row],[PRODUCT ID]],MasterData[],4,0)</f>
        <v>Lt</v>
      </c>
      <c r="J298" s="7">
        <f>VLOOKUP(InputData[[#This Row],[PRODUCT ID]],MasterData[],5,0)</f>
        <v>48</v>
      </c>
      <c r="K298" s="8">
        <f>VLOOKUP(InputData[[#This Row],[PRODUCT ID]],MasterData[],6,0)</f>
        <v>57.120000000000005</v>
      </c>
      <c r="L298" s="8">
        <f>InputData[[#This Row],[BUYING PRIZE]]*InputData[[#This Row],[QUANTITY]]</f>
        <v>96</v>
      </c>
      <c r="M298" s="8">
        <f>InputData[[#This Row],[SELLING PRICE]]*InputData[[#This Row],[QUANTITY]]*(1-InputData[[#This Row],[DISCOUNT %]])</f>
        <v>114.24000000000001</v>
      </c>
      <c r="N298" s="7">
        <f>DAY(InputData[[#This Row],[DATE]])</f>
        <v>26</v>
      </c>
      <c r="O298" s="7" t="str">
        <f>TEXT(InputData[[#This Row],[DATE]],"MMM")</f>
        <v>Apr</v>
      </c>
      <c r="P298" s="7">
        <f>YEAR(InputData[[#This Row],[DATE]])</f>
        <v>2022</v>
      </c>
    </row>
    <row r="299" spans="1:16" x14ac:dyDescent="0.25">
      <c r="A299" s="3">
        <v>44681</v>
      </c>
      <c r="B299" s="4" t="s">
        <v>63</v>
      </c>
      <c r="C299" s="5">
        <v>8</v>
      </c>
      <c r="D299" s="5" t="s">
        <v>108</v>
      </c>
      <c r="E299" s="5" t="s">
        <v>106</v>
      </c>
      <c r="F299" s="6">
        <v>0</v>
      </c>
      <c r="G299" s="7" t="str">
        <f>VLOOKUP(InputData[[#This Row],[PRODUCT ID]],MasterData[],2,0)</f>
        <v>Liquid soap</v>
      </c>
      <c r="H299" s="7" t="str">
        <f>VLOOKUP(InputData[[#This Row],[PRODUCT ID]],MasterData[],3,0)</f>
        <v>Category04</v>
      </c>
      <c r="I299" s="7" t="str">
        <f>VLOOKUP(InputData[[#This Row],[PRODUCT ID]],MasterData[],4,0)</f>
        <v>Lt</v>
      </c>
      <c r="J299" s="7">
        <f>VLOOKUP(InputData[[#This Row],[PRODUCT ID]],MasterData[],5,0)</f>
        <v>48</v>
      </c>
      <c r="K299" s="8">
        <f>VLOOKUP(InputData[[#This Row],[PRODUCT ID]],MasterData[],6,0)</f>
        <v>57.120000000000005</v>
      </c>
      <c r="L299" s="8">
        <f>InputData[[#This Row],[BUYING PRIZE]]*InputData[[#This Row],[QUANTITY]]</f>
        <v>384</v>
      </c>
      <c r="M299" s="8">
        <f>InputData[[#This Row],[SELLING PRICE]]*InputData[[#This Row],[QUANTITY]]*(1-InputData[[#This Row],[DISCOUNT %]])</f>
        <v>456.96000000000004</v>
      </c>
      <c r="N299" s="7">
        <f>DAY(InputData[[#This Row],[DATE]])</f>
        <v>30</v>
      </c>
      <c r="O299" s="7" t="str">
        <f>TEXT(InputData[[#This Row],[DATE]],"MMM")</f>
        <v>Apr</v>
      </c>
      <c r="P299" s="7">
        <f>YEAR(InputData[[#This Row],[DATE]])</f>
        <v>2022</v>
      </c>
    </row>
    <row r="300" spans="1:16" x14ac:dyDescent="0.25">
      <c r="A300" s="3">
        <v>44688</v>
      </c>
      <c r="B300" s="4" t="s">
        <v>63</v>
      </c>
      <c r="C300" s="5">
        <v>1</v>
      </c>
      <c r="D300" s="5" t="s">
        <v>106</v>
      </c>
      <c r="E300" s="5" t="s">
        <v>106</v>
      </c>
      <c r="F300" s="6">
        <v>0</v>
      </c>
      <c r="G300" s="7" t="str">
        <f>VLOOKUP(InputData[[#This Row],[PRODUCT ID]],MasterData[],2,0)</f>
        <v>Liquid soap</v>
      </c>
      <c r="H300" s="7" t="str">
        <f>VLOOKUP(InputData[[#This Row],[PRODUCT ID]],MasterData[],3,0)</f>
        <v>Category04</v>
      </c>
      <c r="I300" s="7" t="str">
        <f>VLOOKUP(InputData[[#This Row],[PRODUCT ID]],MasterData[],4,0)</f>
        <v>Lt</v>
      </c>
      <c r="J300" s="7">
        <f>VLOOKUP(InputData[[#This Row],[PRODUCT ID]],MasterData[],5,0)</f>
        <v>48</v>
      </c>
      <c r="K300" s="8">
        <f>VLOOKUP(InputData[[#This Row],[PRODUCT ID]],MasterData[],6,0)</f>
        <v>57.120000000000005</v>
      </c>
      <c r="L300" s="8">
        <f>InputData[[#This Row],[BUYING PRIZE]]*InputData[[#This Row],[QUANTITY]]</f>
        <v>48</v>
      </c>
      <c r="M300" s="8">
        <f>InputData[[#This Row],[SELLING PRICE]]*InputData[[#This Row],[QUANTITY]]*(1-InputData[[#This Row],[DISCOUNT %]])</f>
        <v>57.120000000000005</v>
      </c>
      <c r="N300" s="7">
        <f>DAY(InputData[[#This Row],[DATE]])</f>
        <v>7</v>
      </c>
      <c r="O300" s="7" t="str">
        <f>TEXT(InputData[[#This Row],[DATE]],"MMM")</f>
        <v>May</v>
      </c>
      <c r="P300" s="7">
        <f>YEAR(InputData[[#This Row],[DATE]])</f>
        <v>2022</v>
      </c>
    </row>
    <row r="301" spans="1:16" x14ac:dyDescent="0.25">
      <c r="A301" s="3">
        <v>44698</v>
      </c>
      <c r="B301" s="4" t="s">
        <v>63</v>
      </c>
      <c r="C301" s="5">
        <v>8</v>
      </c>
      <c r="D301" s="5" t="s">
        <v>108</v>
      </c>
      <c r="E301" s="5" t="s">
        <v>107</v>
      </c>
      <c r="F301" s="6">
        <v>0</v>
      </c>
      <c r="G301" s="7" t="str">
        <f>VLOOKUP(InputData[[#This Row],[PRODUCT ID]],MasterData[],2,0)</f>
        <v>Liquid soap</v>
      </c>
      <c r="H301" s="7" t="str">
        <f>VLOOKUP(InputData[[#This Row],[PRODUCT ID]],MasterData[],3,0)</f>
        <v>Category04</v>
      </c>
      <c r="I301" s="7" t="str">
        <f>VLOOKUP(InputData[[#This Row],[PRODUCT ID]],MasterData[],4,0)</f>
        <v>Lt</v>
      </c>
      <c r="J301" s="7">
        <f>VLOOKUP(InputData[[#This Row],[PRODUCT ID]],MasterData[],5,0)</f>
        <v>48</v>
      </c>
      <c r="K301" s="8">
        <f>VLOOKUP(InputData[[#This Row],[PRODUCT ID]],MasterData[],6,0)</f>
        <v>57.120000000000005</v>
      </c>
      <c r="L301" s="8">
        <f>InputData[[#This Row],[BUYING PRIZE]]*InputData[[#This Row],[QUANTITY]]</f>
        <v>384</v>
      </c>
      <c r="M301" s="8">
        <f>InputData[[#This Row],[SELLING PRICE]]*InputData[[#This Row],[QUANTITY]]*(1-InputData[[#This Row],[DISCOUNT %]])</f>
        <v>456.96000000000004</v>
      </c>
      <c r="N301" s="7">
        <f>DAY(InputData[[#This Row],[DATE]])</f>
        <v>17</v>
      </c>
      <c r="O301" s="7" t="str">
        <f>TEXT(InputData[[#This Row],[DATE]],"MMM")</f>
        <v>May</v>
      </c>
      <c r="P301" s="7">
        <f>YEAR(InputData[[#This Row],[DATE]])</f>
        <v>2022</v>
      </c>
    </row>
    <row r="302" spans="1:16" x14ac:dyDescent="0.25">
      <c r="A302" s="3">
        <v>44699</v>
      </c>
      <c r="B302" s="4" t="s">
        <v>63</v>
      </c>
      <c r="C302" s="5">
        <v>4</v>
      </c>
      <c r="D302" s="5" t="s">
        <v>105</v>
      </c>
      <c r="E302" s="5" t="s">
        <v>106</v>
      </c>
      <c r="F302" s="6">
        <v>0</v>
      </c>
      <c r="G302" s="7" t="str">
        <f>VLOOKUP(InputData[[#This Row],[PRODUCT ID]],MasterData[],2,0)</f>
        <v>Liquid soap</v>
      </c>
      <c r="H302" s="7" t="str">
        <f>VLOOKUP(InputData[[#This Row],[PRODUCT ID]],MasterData[],3,0)</f>
        <v>Category04</v>
      </c>
      <c r="I302" s="7" t="str">
        <f>VLOOKUP(InputData[[#This Row],[PRODUCT ID]],MasterData[],4,0)</f>
        <v>Lt</v>
      </c>
      <c r="J302" s="7">
        <f>VLOOKUP(InputData[[#This Row],[PRODUCT ID]],MasterData[],5,0)</f>
        <v>48</v>
      </c>
      <c r="K302" s="8">
        <f>VLOOKUP(InputData[[#This Row],[PRODUCT ID]],MasterData[],6,0)</f>
        <v>57.120000000000005</v>
      </c>
      <c r="L302" s="8">
        <f>InputData[[#This Row],[BUYING PRIZE]]*InputData[[#This Row],[QUANTITY]]</f>
        <v>192</v>
      </c>
      <c r="M302" s="8">
        <f>InputData[[#This Row],[SELLING PRICE]]*InputData[[#This Row],[QUANTITY]]*(1-InputData[[#This Row],[DISCOUNT %]])</f>
        <v>228.48000000000002</v>
      </c>
      <c r="N302" s="7">
        <f>DAY(InputData[[#This Row],[DATE]])</f>
        <v>18</v>
      </c>
      <c r="O302" s="7" t="str">
        <f>TEXT(InputData[[#This Row],[DATE]],"MMM")</f>
        <v>May</v>
      </c>
      <c r="P302" s="7">
        <f>YEAR(InputData[[#This Row],[DATE]])</f>
        <v>2022</v>
      </c>
    </row>
    <row r="303" spans="1:16" x14ac:dyDescent="0.25">
      <c r="A303" s="3">
        <v>44707</v>
      </c>
      <c r="B303" s="4" t="s">
        <v>63</v>
      </c>
      <c r="C303" s="5">
        <v>2</v>
      </c>
      <c r="D303" s="5" t="s">
        <v>106</v>
      </c>
      <c r="E303" s="5" t="s">
        <v>106</v>
      </c>
      <c r="F303" s="6">
        <v>0</v>
      </c>
      <c r="G303" s="7" t="str">
        <f>VLOOKUP(InputData[[#This Row],[PRODUCT ID]],MasterData[],2,0)</f>
        <v>Liquid soap</v>
      </c>
      <c r="H303" s="7" t="str">
        <f>VLOOKUP(InputData[[#This Row],[PRODUCT ID]],MasterData[],3,0)</f>
        <v>Category04</v>
      </c>
      <c r="I303" s="7" t="str">
        <f>VLOOKUP(InputData[[#This Row],[PRODUCT ID]],MasterData[],4,0)</f>
        <v>Lt</v>
      </c>
      <c r="J303" s="7">
        <f>VLOOKUP(InputData[[#This Row],[PRODUCT ID]],MasterData[],5,0)</f>
        <v>48</v>
      </c>
      <c r="K303" s="8">
        <f>VLOOKUP(InputData[[#This Row],[PRODUCT ID]],MasterData[],6,0)</f>
        <v>57.120000000000005</v>
      </c>
      <c r="L303" s="8">
        <f>InputData[[#This Row],[BUYING PRIZE]]*InputData[[#This Row],[QUANTITY]]</f>
        <v>96</v>
      </c>
      <c r="M303" s="8">
        <f>InputData[[#This Row],[SELLING PRICE]]*InputData[[#This Row],[QUANTITY]]*(1-InputData[[#This Row],[DISCOUNT %]])</f>
        <v>114.24000000000001</v>
      </c>
      <c r="N303" s="7">
        <f>DAY(InputData[[#This Row],[DATE]])</f>
        <v>26</v>
      </c>
      <c r="O303" s="7" t="str">
        <f>TEXT(InputData[[#This Row],[DATE]],"MMM")</f>
        <v>May</v>
      </c>
      <c r="P303" s="7">
        <f>YEAR(InputData[[#This Row],[DATE]])</f>
        <v>2022</v>
      </c>
    </row>
    <row r="304" spans="1:16" x14ac:dyDescent="0.25">
      <c r="A304" s="3">
        <v>44766</v>
      </c>
      <c r="B304" s="4" t="s">
        <v>63</v>
      </c>
      <c r="C304" s="5">
        <v>1</v>
      </c>
      <c r="D304" s="5" t="s">
        <v>106</v>
      </c>
      <c r="E304" s="5" t="s">
        <v>106</v>
      </c>
      <c r="F304" s="6">
        <v>0</v>
      </c>
      <c r="G304" s="7" t="str">
        <f>VLOOKUP(InputData[[#This Row],[PRODUCT ID]],MasterData[],2,0)</f>
        <v>Liquid soap</v>
      </c>
      <c r="H304" s="7" t="str">
        <f>VLOOKUP(InputData[[#This Row],[PRODUCT ID]],MasterData[],3,0)</f>
        <v>Category04</v>
      </c>
      <c r="I304" s="7" t="str">
        <f>VLOOKUP(InputData[[#This Row],[PRODUCT ID]],MasterData[],4,0)</f>
        <v>Lt</v>
      </c>
      <c r="J304" s="7">
        <f>VLOOKUP(InputData[[#This Row],[PRODUCT ID]],MasterData[],5,0)</f>
        <v>48</v>
      </c>
      <c r="K304" s="8">
        <f>VLOOKUP(InputData[[#This Row],[PRODUCT ID]],MasterData[],6,0)</f>
        <v>57.120000000000005</v>
      </c>
      <c r="L304" s="8">
        <f>InputData[[#This Row],[BUYING PRIZE]]*InputData[[#This Row],[QUANTITY]]</f>
        <v>48</v>
      </c>
      <c r="M304" s="8">
        <f>InputData[[#This Row],[SELLING PRICE]]*InputData[[#This Row],[QUANTITY]]*(1-InputData[[#This Row],[DISCOUNT %]])</f>
        <v>57.120000000000005</v>
      </c>
      <c r="N304" s="7">
        <f>DAY(InputData[[#This Row],[DATE]])</f>
        <v>24</v>
      </c>
      <c r="O304" s="7" t="str">
        <f>TEXT(InputData[[#This Row],[DATE]],"MMM")</f>
        <v>Jul</v>
      </c>
      <c r="P304" s="7">
        <f>YEAR(InputData[[#This Row],[DATE]])</f>
        <v>2022</v>
      </c>
    </row>
    <row r="305" spans="1:16" x14ac:dyDescent="0.25">
      <c r="A305" s="3">
        <v>44874</v>
      </c>
      <c r="B305" s="4" t="s">
        <v>63</v>
      </c>
      <c r="C305" s="5">
        <v>8</v>
      </c>
      <c r="D305" s="5" t="s">
        <v>106</v>
      </c>
      <c r="E305" s="5" t="s">
        <v>107</v>
      </c>
      <c r="F305" s="6">
        <v>0</v>
      </c>
      <c r="G305" s="7" t="str">
        <f>VLOOKUP(InputData[[#This Row],[PRODUCT ID]],MasterData[],2,0)</f>
        <v>Liquid soap</v>
      </c>
      <c r="H305" s="7" t="str">
        <f>VLOOKUP(InputData[[#This Row],[PRODUCT ID]],MasterData[],3,0)</f>
        <v>Category04</v>
      </c>
      <c r="I305" s="7" t="str">
        <f>VLOOKUP(InputData[[#This Row],[PRODUCT ID]],MasterData[],4,0)</f>
        <v>Lt</v>
      </c>
      <c r="J305" s="7">
        <f>VLOOKUP(InputData[[#This Row],[PRODUCT ID]],MasterData[],5,0)</f>
        <v>48</v>
      </c>
      <c r="K305" s="8">
        <f>VLOOKUP(InputData[[#This Row],[PRODUCT ID]],MasterData[],6,0)</f>
        <v>57.120000000000005</v>
      </c>
      <c r="L305" s="8">
        <f>InputData[[#This Row],[BUYING PRIZE]]*InputData[[#This Row],[QUANTITY]]</f>
        <v>384</v>
      </c>
      <c r="M305" s="8">
        <f>InputData[[#This Row],[SELLING PRICE]]*InputData[[#This Row],[QUANTITY]]*(1-InputData[[#This Row],[DISCOUNT %]])</f>
        <v>456.96000000000004</v>
      </c>
      <c r="N305" s="7">
        <f>DAY(InputData[[#This Row],[DATE]])</f>
        <v>9</v>
      </c>
      <c r="O305" s="7" t="str">
        <f>TEXT(InputData[[#This Row],[DATE]],"MMM")</f>
        <v>Nov</v>
      </c>
      <c r="P305" s="7">
        <f>YEAR(InputData[[#This Row],[DATE]])</f>
        <v>2022</v>
      </c>
    </row>
    <row r="306" spans="1:16" x14ac:dyDescent="0.25">
      <c r="A306" s="3">
        <v>44878</v>
      </c>
      <c r="B306" s="4" t="s">
        <v>63</v>
      </c>
      <c r="C306" s="5">
        <v>10</v>
      </c>
      <c r="D306" s="5" t="s">
        <v>105</v>
      </c>
      <c r="E306" s="5" t="s">
        <v>107</v>
      </c>
      <c r="F306" s="6">
        <v>0</v>
      </c>
      <c r="G306" s="7" t="str">
        <f>VLOOKUP(InputData[[#This Row],[PRODUCT ID]],MasterData[],2,0)</f>
        <v>Liquid soap</v>
      </c>
      <c r="H306" s="7" t="str">
        <f>VLOOKUP(InputData[[#This Row],[PRODUCT ID]],MasterData[],3,0)</f>
        <v>Category04</v>
      </c>
      <c r="I306" s="7" t="str">
        <f>VLOOKUP(InputData[[#This Row],[PRODUCT ID]],MasterData[],4,0)</f>
        <v>Lt</v>
      </c>
      <c r="J306" s="7">
        <f>VLOOKUP(InputData[[#This Row],[PRODUCT ID]],MasterData[],5,0)</f>
        <v>48</v>
      </c>
      <c r="K306" s="8">
        <f>VLOOKUP(InputData[[#This Row],[PRODUCT ID]],MasterData[],6,0)</f>
        <v>57.120000000000005</v>
      </c>
      <c r="L306" s="8">
        <f>InputData[[#This Row],[BUYING PRIZE]]*InputData[[#This Row],[QUANTITY]]</f>
        <v>480</v>
      </c>
      <c r="M306" s="8">
        <f>InputData[[#This Row],[SELLING PRICE]]*InputData[[#This Row],[QUANTITY]]*(1-InputData[[#This Row],[DISCOUNT %]])</f>
        <v>571.20000000000005</v>
      </c>
      <c r="N306" s="7">
        <f>DAY(InputData[[#This Row],[DATE]])</f>
        <v>13</v>
      </c>
      <c r="O306" s="7" t="str">
        <f>TEXT(InputData[[#This Row],[DATE]],"MMM")</f>
        <v>Nov</v>
      </c>
      <c r="P306" s="7">
        <f>YEAR(InputData[[#This Row],[DATE]])</f>
        <v>2022</v>
      </c>
    </row>
    <row r="307" spans="1:16" x14ac:dyDescent="0.25">
      <c r="A307" s="3">
        <v>44906</v>
      </c>
      <c r="B307" s="4" t="s">
        <v>63</v>
      </c>
      <c r="C307" s="5">
        <v>5</v>
      </c>
      <c r="D307" s="5" t="s">
        <v>108</v>
      </c>
      <c r="E307" s="5" t="s">
        <v>106</v>
      </c>
      <c r="F307" s="6">
        <v>0</v>
      </c>
      <c r="G307" s="7" t="str">
        <f>VLOOKUP(InputData[[#This Row],[PRODUCT ID]],MasterData[],2,0)</f>
        <v>Liquid soap</v>
      </c>
      <c r="H307" s="7" t="str">
        <f>VLOOKUP(InputData[[#This Row],[PRODUCT ID]],MasterData[],3,0)</f>
        <v>Category04</v>
      </c>
      <c r="I307" s="7" t="str">
        <f>VLOOKUP(InputData[[#This Row],[PRODUCT ID]],MasterData[],4,0)</f>
        <v>Lt</v>
      </c>
      <c r="J307" s="7">
        <f>VLOOKUP(InputData[[#This Row],[PRODUCT ID]],MasterData[],5,0)</f>
        <v>48</v>
      </c>
      <c r="K307" s="8">
        <f>VLOOKUP(InputData[[#This Row],[PRODUCT ID]],MasterData[],6,0)</f>
        <v>57.120000000000005</v>
      </c>
      <c r="L307" s="8">
        <f>InputData[[#This Row],[BUYING PRIZE]]*InputData[[#This Row],[QUANTITY]]</f>
        <v>240</v>
      </c>
      <c r="M307" s="8">
        <f>InputData[[#This Row],[SELLING PRICE]]*InputData[[#This Row],[QUANTITY]]*(1-InputData[[#This Row],[DISCOUNT %]])</f>
        <v>285.60000000000002</v>
      </c>
      <c r="N307" s="7">
        <f>DAY(InputData[[#This Row],[DATE]])</f>
        <v>11</v>
      </c>
      <c r="O307" s="7" t="str">
        <f>TEXT(InputData[[#This Row],[DATE]],"MMM")</f>
        <v>Dec</v>
      </c>
      <c r="P307" s="7">
        <f>YEAR(InputData[[#This Row],[DATE]])</f>
        <v>2022</v>
      </c>
    </row>
    <row r="308" spans="1:16" x14ac:dyDescent="0.25">
      <c r="A308" s="3">
        <v>44268</v>
      </c>
      <c r="B308" s="4" t="s">
        <v>65</v>
      </c>
      <c r="C308" s="5">
        <v>10</v>
      </c>
      <c r="D308" s="5" t="s">
        <v>105</v>
      </c>
      <c r="E308" s="5" t="s">
        <v>107</v>
      </c>
      <c r="F308" s="6">
        <v>0</v>
      </c>
      <c r="G308" s="7" t="str">
        <f>VLOOKUP(InputData[[#This Row],[PRODUCT ID]],MasterData[],2,0)</f>
        <v>Soa Bean</v>
      </c>
      <c r="H308" s="7" t="str">
        <f>VLOOKUP(InputData[[#This Row],[PRODUCT ID]],MasterData[],3,0)</f>
        <v>Category04</v>
      </c>
      <c r="I308" s="7" t="str">
        <f>VLOOKUP(InputData[[#This Row],[PRODUCT ID]],MasterData[],4,0)</f>
        <v>No.</v>
      </c>
      <c r="J308" s="7">
        <f>VLOOKUP(InputData[[#This Row],[PRODUCT ID]],MasterData[],5,0)</f>
        <v>37</v>
      </c>
      <c r="K308" s="8">
        <f>VLOOKUP(InputData[[#This Row],[PRODUCT ID]],MasterData[],6,0)</f>
        <v>41.81</v>
      </c>
      <c r="L308" s="8">
        <f>InputData[[#This Row],[BUYING PRIZE]]*InputData[[#This Row],[QUANTITY]]</f>
        <v>370</v>
      </c>
      <c r="M308" s="8">
        <f>InputData[[#This Row],[SELLING PRICE]]*InputData[[#This Row],[QUANTITY]]*(1-InputData[[#This Row],[DISCOUNT %]])</f>
        <v>418.1</v>
      </c>
      <c r="N308" s="7">
        <f>DAY(InputData[[#This Row],[DATE]])</f>
        <v>13</v>
      </c>
      <c r="O308" s="7" t="str">
        <f>TEXT(InputData[[#This Row],[DATE]],"MMM")</f>
        <v>Mar</v>
      </c>
      <c r="P308" s="7">
        <f>YEAR(InputData[[#This Row],[DATE]])</f>
        <v>2021</v>
      </c>
    </row>
    <row r="309" spans="1:16" x14ac:dyDescent="0.25">
      <c r="A309" s="3">
        <v>44274</v>
      </c>
      <c r="B309" s="4" t="s">
        <v>65</v>
      </c>
      <c r="C309" s="5">
        <v>9</v>
      </c>
      <c r="D309" s="5" t="s">
        <v>106</v>
      </c>
      <c r="E309" s="5" t="s">
        <v>107</v>
      </c>
      <c r="F309" s="6">
        <v>0</v>
      </c>
      <c r="G309" s="7" t="str">
        <f>VLOOKUP(InputData[[#This Row],[PRODUCT ID]],MasterData[],2,0)</f>
        <v>Soa Bean</v>
      </c>
      <c r="H309" s="7" t="str">
        <f>VLOOKUP(InputData[[#This Row],[PRODUCT ID]],MasterData[],3,0)</f>
        <v>Category04</v>
      </c>
      <c r="I309" s="7" t="str">
        <f>VLOOKUP(InputData[[#This Row],[PRODUCT ID]],MasterData[],4,0)</f>
        <v>No.</v>
      </c>
      <c r="J309" s="7">
        <f>VLOOKUP(InputData[[#This Row],[PRODUCT ID]],MasterData[],5,0)</f>
        <v>37</v>
      </c>
      <c r="K309" s="8">
        <f>VLOOKUP(InputData[[#This Row],[PRODUCT ID]],MasterData[],6,0)</f>
        <v>41.81</v>
      </c>
      <c r="L309" s="8">
        <f>InputData[[#This Row],[BUYING PRIZE]]*InputData[[#This Row],[QUANTITY]]</f>
        <v>333</v>
      </c>
      <c r="M309" s="8">
        <f>InputData[[#This Row],[SELLING PRICE]]*InputData[[#This Row],[QUANTITY]]*(1-InputData[[#This Row],[DISCOUNT %]])</f>
        <v>376.29</v>
      </c>
      <c r="N309" s="7">
        <f>DAY(InputData[[#This Row],[DATE]])</f>
        <v>19</v>
      </c>
      <c r="O309" s="7" t="str">
        <f>TEXT(InputData[[#This Row],[DATE]],"MMM")</f>
        <v>Mar</v>
      </c>
      <c r="P309" s="7">
        <f>YEAR(InputData[[#This Row],[DATE]])</f>
        <v>2021</v>
      </c>
    </row>
    <row r="310" spans="1:16" x14ac:dyDescent="0.25">
      <c r="A310" s="3">
        <v>44309</v>
      </c>
      <c r="B310" s="4" t="s">
        <v>65</v>
      </c>
      <c r="C310" s="5">
        <v>10</v>
      </c>
      <c r="D310" s="5" t="s">
        <v>108</v>
      </c>
      <c r="E310" s="5" t="s">
        <v>106</v>
      </c>
      <c r="F310" s="6">
        <v>0</v>
      </c>
      <c r="G310" s="7" t="str">
        <f>VLOOKUP(InputData[[#This Row],[PRODUCT ID]],MasterData[],2,0)</f>
        <v>Soa Bean</v>
      </c>
      <c r="H310" s="7" t="str">
        <f>VLOOKUP(InputData[[#This Row],[PRODUCT ID]],MasterData[],3,0)</f>
        <v>Category04</v>
      </c>
      <c r="I310" s="7" t="str">
        <f>VLOOKUP(InputData[[#This Row],[PRODUCT ID]],MasterData[],4,0)</f>
        <v>No.</v>
      </c>
      <c r="J310" s="7">
        <f>VLOOKUP(InputData[[#This Row],[PRODUCT ID]],MasterData[],5,0)</f>
        <v>37</v>
      </c>
      <c r="K310" s="8">
        <f>VLOOKUP(InputData[[#This Row],[PRODUCT ID]],MasterData[],6,0)</f>
        <v>41.81</v>
      </c>
      <c r="L310" s="8">
        <f>InputData[[#This Row],[BUYING PRIZE]]*InputData[[#This Row],[QUANTITY]]</f>
        <v>370</v>
      </c>
      <c r="M310" s="8">
        <f>InputData[[#This Row],[SELLING PRICE]]*InputData[[#This Row],[QUANTITY]]*(1-InputData[[#This Row],[DISCOUNT %]])</f>
        <v>418.1</v>
      </c>
      <c r="N310" s="7">
        <f>DAY(InputData[[#This Row],[DATE]])</f>
        <v>23</v>
      </c>
      <c r="O310" s="7" t="str">
        <f>TEXT(InputData[[#This Row],[DATE]],"MMM")</f>
        <v>Apr</v>
      </c>
      <c r="P310" s="7">
        <f>YEAR(InputData[[#This Row],[DATE]])</f>
        <v>2021</v>
      </c>
    </row>
    <row r="311" spans="1:16" x14ac:dyDescent="0.25">
      <c r="A311" s="3">
        <v>44325</v>
      </c>
      <c r="B311" s="4" t="s">
        <v>65</v>
      </c>
      <c r="C311" s="5">
        <v>8</v>
      </c>
      <c r="D311" s="5" t="s">
        <v>108</v>
      </c>
      <c r="E311" s="5" t="s">
        <v>107</v>
      </c>
      <c r="F311" s="6">
        <v>0</v>
      </c>
      <c r="G311" s="7" t="str">
        <f>VLOOKUP(InputData[[#This Row],[PRODUCT ID]],MasterData[],2,0)</f>
        <v>Soa Bean</v>
      </c>
      <c r="H311" s="7" t="str">
        <f>VLOOKUP(InputData[[#This Row],[PRODUCT ID]],MasterData[],3,0)</f>
        <v>Category04</v>
      </c>
      <c r="I311" s="7" t="str">
        <f>VLOOKUP(InputData[[#This Row],[PRODUCT ID]],MasterData[],4,0)</f>
        <v>No.</v>
      </c>
      <c r="J311" s="7">
        <f>VLOOKUP(InputData[[#This Row],[PRODUCT ID]],MasterData[],5,0)</f>
        <v>37</v>
      </c>
      <c r="K311" s="8">
        <f>VLOOKUP(InputData[[#This Row],[PRODUCT ID]],MasterData[],6,0)</f>
        <v>41.81</v>
      </c>
      <c r="L311" s="8">
        <f>InputData[[#This Row],[BUYING PRIZE]]*InputData[[#This Row],[QUANTITY]]</f>
        <v>296</v>
      </c>
      <c r="M311" s="8">
        <f>InputData[[#This Row],[SELLING PRICE]]*InputData[[#This Row],[QUANTITY]]*(1-InputData[[#This Row],[DISCOUNT %]])</f>
        <v>334.48</v>
      </c>
      <c r="N311" s="7">
        <f>DAY(InputData[[#This Row],[DATE]])</f>
        <v>9</v>
      </c>
      <c r="O311" s="7" t="str">
        <f>TEXT(InputData[[#This Row],[DATE]],"MMM")</f>
        <v>May</v>
      </c>
      <c r="P311" s="7">
        <f>YEAR(InputData[[#This Row],[DATE]])</f>
        <v>2021</v>
      </c>
    </row>
    <row r="312" spans="1:16" x14ac:dyDescent="0.25">
      <c r="A312" s="3">
        <v>44355</v>
      </c>
      <c r="B312" s="4" t="s">
        <v>65</v>
      </c>
      <c r="C312" s="5">
        <v>11</v>
      </c>
      <c r="D312" s="5" t="s">
        <v>108</v>
      </c>
      <c r="E312" s="5" t="s">
        <v>106</v>
      </c>
      <c r="F312" s="6">
        <v>0</v>
      </c>
      <c r="G312" s="7" t="str">
        <f>VLOOKUP(InputData[[#This Row],[PRODUCT ID]],MasterData[],2,0)</f>
        <v>Soa Bean</v>
      </c>
      <c r="H312" s="7" t="str">
        <f>VLOOKUP(InputData[[#This Row],[PRODUCT ID]],MasterData[],3,0)</f>
        <v>Category04</v>
      </c>
      <c r="I312" s="7" t="str">
        <f>VLOOKUP(InputData[[#This Row],[PRODUCT ID]],MasterData[],4,0)</f>
        <v>No.</v>
      </c>
      <c r="J312" s="7">
        <f>VLOOKUP(InputData[[#This Row],[PRODUCT ID]],MasterData[],5,0)</f>
        <v>37</v>
      </c>
      <c r="K312" s="8">
        <f>VLOOKUP(InputData[[#This Row],[PRODUCT ID]],MasterData[],6,0)</f>
        <v>41.81</v>
      </c>
      <c r="L312" s="8">
        <f>InputData[[#This Row],[BUYING PRIZE]]*InputData[[#This Row],[QUANTITY]]</f>
        <v>407</v>
      </c>
      <c r="M312" s="8">
        <f>InputData[[#This Row],[SELLING PRICE]]*InputData[[#This Row],[QUANTITY]]*(1-InputData[[#This Row],[DISCOUNT %]])</f>
        <v>459.91</v>
      </c>
      <c r="N312" s="7">
        <f>DAY(InputData[[#This Row],[DATE]])</f>
        <v>8</v>
      </c>
      <c r="O312" s="7" t="str">
        <f>TEXT(InputData[[#This Row],[DATE]],"MMM")</f>
        <v>Jun</v>
      </c>
      <c r="P312" s="7">
        <f>YEAR(InputData[[#This Row],[DATE]])</f>
        <v>2021</v>
      </c>
    </row>
    <row r="313" spans="1:16" x14ac:dyDescent="0.25">
      <c r="A313" s="3">
        <v>44413</v>
      </c>
      <c r="B313" s="4" t="s">
        <v>65</v>
      </c>
      <c r="C313" s="5">
        <v>14</v>
      </c>
      <c r="D313" s="5" t="s">
        <v>108</v>
      </c>
      <c r="E313" s="5" t="s">
        <v>107</v>
      </c>
      <c r="F313" s="6">
        <v>0</v>
      </c>
      <c r="G313" s="7" t="str">
        <f>VLOOKUP(InputData[[#This Row],[PRODUCT ID]],MasterData[],2,0)</f>
        <v>Soa Bean</v>
      </c>
      <c r="H313" s="7" t="str">
        <f>VLOOKUP(InputData[[#This Row],[PRODUCT ID]],MasterData[],3,0)</f>
        <v>Category04</v>
      </c>
      <c r="I313" s="7" t="str">
        <f>VLOOKUP(InputData[[#This Row],[PRODUCT ID]],MasterData[],4,0)</f>
        <v>No.</v>
      </c>
      <c r="J313" s="7">
        <f>VLOOKUP(InputData[[#This Row],[PRODUCT ID]],MasterData[],5,0)</f>
        <v>37</v>
      </c>
      <c r="K313" s="8">
        <f>VLOOKUP(InputData[[#This Row],[PRODUCT ID]],MasterData[],6,0)</f>
        <v>41.81</v>
      </c>
      <c r="L313" s="8">
        <f>InputData[[#This Row],[BUYING PRIZE]]*InputData[[#This Row],[QUANTITY]]</f>
        <v>518</v>
      </c>
      <c r="M313" s="8">
        <f>InputData[[#This Row],[SELLING PRICE]]*InputData[[#This Row],[QUANTITY]]*(1-InputData[[#This Row],[DISCOUNT %]])</f>
        <v>585.34</v>
      </c>
      <c r="N313" s="7">
        <f>DAY(InputData[[#This Row],[DATE]])</f>
        <v>5</v>
      </c>
      <c r="O313" s="7" t="str">
        <f>TEXT(InputData[[#This Row],[DATE]],"MMM")</f>
        <v>Aug</v>
      </c>
      <c r="P313" s="7">
        <f>YEAR(InputData[[#This Row],[DATE]])</f>
        <v>2021</v>
      </c>
    </row>
    <row r="314" spans="1:16" x14ac:dyDescent="0.25">
      <c r="A314" s="3">
        <v>44428</v>
      </c>
      <c r="B314" s="4" t="s">
        <v>65</v>
      </c>
      <c r="C314" s="5">
        <v>13</v>
      </c>
      <c r="D314" s="5" t="s">
        <v>108</v>
      </c>
      <c r="E314" s="5" t="s">
        <v>106</v>
      </c>
      <c r="F314" s="6">
        <v>0</v>
      </c>
      <c r="G314" s="7" t="str">
        <f>VLOOKUP(InputData[[#This Row],[PRODUCT ID]],MasterData[],2,0)</f>
        <v>Soa Bean</v>
      </c>
      <c r="H314" s="7" t="str">
        <f>VLOOKUP(InputData[[#This Row],[PRODUCT ID]],MasterData[],3,0)</f>
        <v>Category04</v>
      </c>
      <c r="I314" s="7" t="str">
        <f>VLOOKUP(InputData[[#This Row],[PRODUCT ID]],MasterData[],4,0)</f>
        <v>No.</v>
      </c>
      <c r="J314" s="7">
        <f>VLOOKUP(InputData[[#This Row],[PRODUCT ID]],MasterData[],5,0)</f>
        <v>37</v>
      </c>
      <c r="K314" s="8">
        <f>VLOOKUP(InputData[[#This Row],[PRODUCT ID]],MasterData[],6,0)</f>
        <v>41.81</v>
      </c>
      <c r="L314" s="8">
        <f>InputData[[#This Row],[BUYING PRIZE]]*InputData[[#This Row],[QUANTITY]]</f>
        <v>481</v>
      </c>
      <c r="M314" s="8">
        <f>InputData[[#This Row],[SELLING PRICE]]*InputData[[#This Row],[QUANTITY]]*(1-InputData[[#This Row],[DISCOUNT %]])</f>
        <v>543.53</v>
      </c>
      <c r="N314" s="7">
        <f>DAY(InputData[[#This Row],[DATE]])</f>
        <v>20</v>
      </c>
      <c r="O314" s="7" t="str">
        <f>TEXT(InputData[[#This Row],[DATE]],"MMM")</f>
        <v>Aug</v>
      </c>
      <c r="P314" s="7">
        <f>YEAR(InputData[[#This Row],[DATE]])</f>
        <v>2021</v>
      </c>
    </row>
    <row r="315" spans="1:16" x14ac:dyDescent="0.25">
      <c r="A315" s="3">
        <v>44443</v>
      </c>
      <c r="B315" s="4" t="s">
        <v>65</v>
      </c>
      <c r="C315" s="5">
        <v>7</v>
      </c>
      <c r="D315" s="5" t="s">
        <v>108</v>
      </c>
      <c r="E315" s="5" t="s">
        <v>106</v>
      </c>
      <c r="F315" s="6">
        <v>0</v>
      </c>
      <c r="G315" s="7" t="str">
        <f>VLOOKUP(InputData[[#This Row],[PRODUCT ID]],MasterData[],2,0)</f>
        <v>Soa Bean</v>
      </c>
      <c r="H315" s="7" t="str">
        <f>VLOOKUP(InputData[[#This Row],[PRODUCT ID]],MasterData[],3,0)</f>
        <v>Category04</v>
      </c>
      <c r="I315" s="7" t="str">
        <f>VLOOKUP(InputData[[#This Row],[PRODUCT ID]],MasterData[],4,0)</f>
        <v>No.</v>
      </c>
      <c r="J315" s="7">
        <f>VLOOKUP(InputData[[#This Row],[PRODUCT ID]],MasterData[],5,0)</f>
        <v>37</v>
      </c>
      <c r="K315" s="8">
        <f>VLOOKUP(InputData[[#This Row],[PRODUCT ID]],MasterData[],6,0)</f>
        <v>41.81</v>
      </c>
      <c r="L315" s="8">
        <f>InputData[[#This Row],[BUYING PRIZE]]*InputData[[#This Row],[QUANTITY]]</f>
        <v>259</v>
      </c>
      <c r="M315" s="8">
        <f>InputData[[#This Row],[SELLING PRICE]]*InputData[[#This Row],[QUANTITY]]*(1-InputData[[#This Row],[DISCOUNT %]])</f>
        <v>292.67</v>
      </c>
      <c r="N315" s="7">
        <f>DAY(InputData[[#This Row],[DATE]])</f>
        <v>4</v>
      </c>
      <c r="O315" s="7" t="str">
        <f>TEXT(InputData[[#This Row],[DATE]],"MMM")</f>
        <v>Sep</v>
      </c>
      <c r="P315" s="7">
        <f>YEAR(InputData[[#This Row],[DATE]])</f>
        <v>2021</v>
      </c>
    </row>
    <row r="316" spans="1:16" x14ac:dyDescent="0.25">
      <c r="A316" s="3">
        <v>44606</v>
      </c>
      <c r="B316" s="4" t="s">
        <v>65</v>
      </c>
      <c r="C316" s="5">
        <v>3</v>
      </c>
      <c r="D316" s="5" t="s">
        <v>108</v>
      </c>
      <c r="E316" s="5" t="s">
        <v>107</v>
      </c>
      <c r="F316" s="6">
        <v>0</v>
      </c>
      <c r="G316" s="7" t="str">
        <f>VLOOKUP(InputData[[#This Row],[PRODUCT ID]],MasterData[],2,0)</f>
        <v>Soa Bean</v>
      </c>
      <c r="H316" s="7" t="str">
        <f>VLOOKUP(InputData[[#This Row],[PRODUCT ID]],MasterData[],3,0)</f>
        <v>Category04</v>
      </c>
      <c r="I316" s="7" t="str">
        <f>VLOOKUP(InputData[[#This Row],[PRODUCT ID]],MasterData[],4,0)</f>
        <v>No.</v>
      </c>
      <c r="J316" s="7">
        <f>VLOOKUP(InputData[[#This Row],[PRODUCT ID]],MasterData[],5,0)</f>
        <v>37</v>
      </c>
      <c r="K316" s="8">
        <f>VLOOKUP(InputData[[#This Row],[PRODUCT ID]],MasterData[],6,0)</f>
        <v>41.81</v>
      </c>
      <c r="L316" s="8">
        <f>InputData[[#This Row],[BUYING PRIZE]]*InputData[[#This Row],[QUANTITY]]</f>
        <v>111</v>
      </c>
      <c r="M316" s="8">
        <f>InputData[[#This Row],[SELLING PRICE]]*InputData[[#This Row],[QUANTITY]]*(1-InputData[[#This Row],[DISCOUNT %]])</f>
        <v>125.43</v>
      </c>
      <c r="N316" s="7">
        <f>DAY(InputData[[#This Row],[DATE]])</f>
        <v>14</v>
      </c>
      <c r="O316" s="7" t="str">
        <f>TEXT(InputData[[#This Row],[DATE]],"MMM")</f>
        <v>Feb</v>
      </c>
      <c r="P316" s="7">
        <f>YEAR(InputData[[#This Row],[DATE]])</f>
        <v>2022</v>
      </c>
    </row>
    <row r="317" spans="1:16" x14ac:dyDescent="0.25">
      <c r="A317" s="3">
        <v>44707</v>
      </c>
      <c r="B317" s="4" t="s">
        <v>65</v>
      </c>
      <c r="C317" s="5">
        <v>2</v>
      </c>
      <c r="D317" s="5" t="s">
        <v>108</v>
      </c>
      <c r="E317" s="5" t="s">
        <v>106</v>
      </c>
      <c r="F317" s="6">
        <v>0</v>
      </c>
      <c r="G317" s="7" t="str">
        <f>VLOOKUP(InputData[[#This Row],[PRODUCT ID]],MasterData[],2,0)</f>
        <v>Soa Bean</v>
      </c>
      <c r="H317" s="7" t="str">
        <f>VLOOKUP(InputData[[#This Row],[PRODUCT ID]],MasterData[],3,0)</f>
        <v>Category04</v>
      </c>
      <c r="I317" s="7" t="str">
        <f>VLOOKUP(InputData[[#This Row],[PRODUCT ID]],MasterData[],4,0)</f>
        <v>No.</v>
      </c>
      <c r="J317" s="7">
        <f>VLOOKUP(InputData[[#This Row],[PRODUCT ID]],MasterData[],5,0)</f>
        <v>37</v>
      </c>
      <c r="K317" s="8">
        <f>VLOOKUP(InputData[[#This Row],[PRODUCT ID]],MasterData[],6,0)</f>
        <v>41.81</v>
      </c>
      <c r="L317" s="8">
        <f>InputData[[#This Row],[BUYING PRIZE]]*InputData[[#This Row],[QUANTITY]]</f>
        <v>74</v>
      </c>
      <c r="M317" s="8">
        <f>InputData[[#This Row],[SELLING PRICE]]*InputData[[#This Row],[QUANTITY]]*(1-InputData[[#This Row],[DISCOUNT %]])</f>
        <v>83.62</v>
      </c>
      <c r="N317" s="7">
        <f>DAY(InputData[[#This Row],[DATE]])</f>
        <v>26</v>
      </c>
      <c r="O317" s="7" t="str">
        <f>TEXT(InputData[[#This Row],[DATE]],"MMM")</f>
        <v>May</v>
      </c>
      <c r="P317" s="7">
        <f>YEAR(InputData[[#This Row],[DATE]])</f>
        <v>2022</v>
      </c>
    </row>
    <row r="318" spans="1:16" x14ac:dyDescent="0.25">
      <c r="A318" s="3">
        <v>44722</v>
      </c>
      <c r="B318" s="4" t="s">
        <v>65</v>
      </c>
      <c r="C318" s="5">
        <v>8</v>
      </c>
      <c r="D318" s="5" t="s">
        <v>105</v>
      </c>
      <c r="E318" s="5" t="s">
        <v>106</v>
      </c>
      <c r="F318" s="6">
        <v>0</v>
      </c>
      <c r="G318" s="7" t="str">
        <f>VLOOKUP(InputData[[#This Row],[PRODUCT ID]],MasterData[],2,0)</f>
        <v>Soa Bean</v>
      </c>
      <c r="H318" s="7" t="str">
        <f>VLOOKUP(InputData[[#This Row],[PRODUCT ID]],MasterData[],3,0)</f>
        <v>Category04</v>
      </c>
      <c r="I318" s="7" t="str">
        <f>VLOOKUP(InputData[[#This Row],[PRODUCT ID]],MasterData[],4,0)</f>
        <v>No.</v>
      </c>
      <c r="J318" s="7">
        <f>VLOOKUP(InputData[[#This Row],[PRODUCT ID]],MasterData[],5,0)</f>
        <v>37</v>
      </c>
      <c r="K318" s="8">
        <f>VLOOKUP(InputData[[#This Row],[PRODUCT ID]],MasterData[],6,0)</f>
        <v>41.81</v>
      </c>
      <c r="L318" s="8">
        <f>InputData[[#This Row],[BUYING PRIZE]]*InputData[[#This Row],[QUANTITY]]</f>
        <v>296</v>
      </c>
      <c r="M318" s="8">
        <f>InputData[[#This Row],[SELLING PRICE]]*InputData[[#This Row],[QUANTITY]]*(1-InputData[[#This Row],[DISCOUNT %]])</f>
        <v>334.48</v>
      </c>
      <c r="N318" s="7">
        <f>DAY(InputData[[#This Row],[DATE]])</f>
        <v>10</v>
      </c>
      <c r="O318" s="7" t="str">
        <f>TEXT(InputData[[#This Row],[DATE]],"MMM")</f>
        <v>Jun</v>
      </c>
      <c r="P318" s="7">
        <f>YEAR(InputData[[#This Row],[DATE]])</f>
        <v>2022</v>
      </c>
    </row>
    <row r="319" spans="1:16" x14ac:dyDescent="0.25">
      <c r="A319" s="3">
        <v>44754</v>
      </c>
      <c r="B319" s="4" t="s">
        <v>65</v>
      </c>
      <c r="C319" s="5">
        <v>12</v>
      </c>
      <c r="D319" s="5" t="s">
        <v>108</v>
      </c>
      <c r="E319" s="5" t="s">
        <v>107</v>
      </c>
      <c r="F319" s="6">
        <v>0</v>
      </c>
      <c r="G319" s="7" t="str">
        <f>VLOOKUP(InputData[[#This Row],[PRODUCT ID]],MasterData[],2,0)</f>
        <v>Soa Bean</v>
      </c>
      <c r="H319" s="7" t="str">
        <f>VLOOKUP(InputData[[#This Row],[PRODUCT ID]],MasterData[],3,0)</f>
        <v>Category04</v>
      </c>
      <c r="I319" s="7" t="str">
        <f>VLOOKUP(InputData[[#This Row],[PRODUCT ID]],MasterData[],4,0)</f>
        <v>No.</v>
      </c>
      <c r="J319" s="7">
        <f>VLOOKUP(InputData[[#This Row],[PRODUCT ID]],MasterData[],5,0)</f>
        <v>37</v>
      </c>
      <c r="K319" s="8">
        <f>VLOOKUP(InputData[[#This Row],[PRODUCT ID]],MasterData[],6,0)</f>
        <v>41.81</v>
      </c>
      <c r="L319" s="8">
        <f>InputData[[#This Row],[BUYING PRIZE]]*InputData[[#This Row],[QUANTITY]]</f>
        <v>444</v>
      </c>
      <c r="M319" s="8">
        <f>InputData[[#This Row],[SELLING PRICE]]*InputData[[#This Row],[QUANTITY]]*(1-InputData[[#This Row],[DISCOUNT %]])</f>
        <v>501.72</v>
      </c>
      <c r="N319" s="7">
        <f>DAY(InputData[[#This Row],[DATE]])</f>
        <v>12</v>
      </c>
      <c r="O319" s="7" t="str">
        <f>TEXT(InputData[[#This Row],[DATE]],"MMM")</f>
        <v>Jul</v>
      </c>
      <c r="P319" s="7">
        <f>YEAR(InputData[[#This Row],[DATE]])</f>
        <v>2022</v>
      </c>
    </row>
    <row r="320" spans="1:16" x14ac:dyDescent="0.25">
      <c r="A320" s="3">
        <v>44898</v>
      </c>
      <c r="B320" s="4" t="s">
        <v>65</v>
      </c>
      <c r="C320" s="5">
        <v>5</v>
      </c>
      <c r="D320" s="5" t="s">
        <v>105</v>
      </c>
      <c r="E320" s="5" t="s">
        <v>107</v>
      </c>
      <c r="F320" s="6">
        <v>0</v>
      </c>
      <c r="G320" s="7" t="str">
        <f>VLOOKUP(InputData[[#This Row],[PRODUCT ID]],MasterData[],2,0)</f>
        <v>Soa Bean</v>
      </c>
      <c r="H320" s="7" t="str">
        <f>VLOOKUP(InputData[[#This Row],[PRODUCT ID]],MasterData[],3,0)</f>
        <v>Category04</v>
      </c>
      <c r="I320" s="7" t="str">
        <f>VLOOKUP(InputData[[#This Row],[PRODUCT ID]],MasterData[],4,0)</f>
        <v>No.</v>
      </c>
      <c r="J320" s="7">
        <f>VLOOKUP(InputData[[#This Row],[PRODUCT ID]],MasterData[],5,0)</f>
        <v>37</v>
      </c>
      <c r="K320" s="8">
        <f>VLOOKUP(InputData[[#This Row],[PRODUCT ID]],MasterData[],6,0)</f>
        <v>41.81</v>
      </c>
      <c r="L320" s="8">
        <f>InputData[[#This Row],[BUYING PRIZE]]*InputData[[#This Row],[QUANTITY]]</f>
        <v>185</v>
      </c>
      <c r="M320" s="8">
        <f>InputData[[#This Row],[SELLING PRICE]]*InputData[[#This Row],[QUANTITY]]*(1-InputData[[#This Row],[DISCOUNT %]])</f>
        <v>209.05</v>
      </c>
      <c r="N320" s="7">
        <f>DAY(InputData[[#This Row],[DATE]])</f>
        <v>3</v>
      </c>
      <c r="O320" s="7" t="str">
        <f>TEXT(InputData[[#This Row],[DATE]],"MMM")</f>
        <v>Dec</v>
      </c>
      <c r="P320" s="7">
        <f>YEAR(InputData[[#This Row],[DATE]])</f>
        <v>2022</v>
      </c>
    </row>
    <row r="321" spans="1:16" x14ac:dyDescent="0.25">
      <c r="A321" s="3">
        <v>44224</v>
      </c>
      <c r="B321" s="4" t="s">
        <v>67</v>
      </c>
      <c r="C321" s="5">
        <v>2</v>
      </c>
      <c r="D321" s="5" t="s">
        <v>108</v>
      </c>
      <c r="E321" s="5" t="s">
        <v>107</v>
      </c>
      <c r="F321" s="6">
        <v>0</v>
      </c>
      <c r="G321" s="7" t="str">
        <f>VLOOKUP(InputData[[#This Row],[PRODUCT ID]],MasterData[],2,0)</f>
        <v>Milk</v>
      </c>
      <c r="H321" s="7" t="str">
        <f>VLOOKUP(InputData[[#This Row],[PRODUCT ID]],MasterData[],3,0)</f>
        <v>Category04</v>
      </c>
      <c r="I321" s="7" t="str">
        <f>VLOOKUP(InputData[[#This Row],[PRODUCT ID]],MasterData[],4,0)</f>
        <v>Lt</v>
      </c>
      <c r="J321" s="7">
        <f>VLOOKUP(InputData[[#This Row],[PRODUCT ID]],MasterData[],5,0)</f>
        <v>47</v>
      </c>
      <c r="K321" s="8">
        <f>VLOOKUP(InputData[[#This Row],[PRODUCT ID]],MasterData[],6,0)</f>
        <v>53.11</v>
      </c>
      <c r="L321" s="8">
        <f>InputData[[#This Row],[BUYING PRIZE]]*InputData[[#This Row],[QUANTITY]]</f>
        <v>94</v>
      </c>
      <c r="M321" s="8">
        <f>InputData[[#This Row],[SELLING PRICE]]*InputData[[#This Row],[QUANTITY]]*(1-InputData[[#This Row],[DISCOUNT %]])</f>
        <v>106.22</v>
      </c>
      <c r="N321" s="7">
        <f>DAY(InputData[[#This Row],[DATE]])</f>
        <v>28</v>
      </c>
      <c r="O321" s="7" t="str">
        <f>TEXT(InputData[[#This Row],[DATE]],"MMM")</f>
        <v>Jan</v>
      </c>
      <c r="P321" s="7">
        <f>YEAR(InputData[[#This Row],[DATE]])</f>
        <v>2021</v>
      </c>
    </row>
    <row r="322" spans="1:16" x14ac:dyDescent="0.25">
      <c r="A322" s="3">
        <v>44264</v>
      </c>
      <c r="B322" s="4" t="s">
        <v>67</v>
      </c>
      <c r="C322" s="5">
        <v>6</v>
      </c>
      <c r="D322" s="5" t="s">
        <v>105</v>
      </c>
      <c r="E322" s="5" t="s">
        <v>106</v>
      </c>
      <c r="F322" s="6">
        <v>0</v>
      </c>
      <c r="G322" s="7" t="str">
        <f>VLOOKUP(InputData[[#This Row],[PRODUCT ID]],MasterData[],2,0)</f>
        <v>Milk</v>
      </c>
      <c r="H322" s="7" t="str">
        <f>VLOOKUP(InputData[[#This Row],[PRODUCT ID]],MasterData[],3,0)</f>
        <v>Category04</v>
      </c>
      <c r="I322" s="7" t="str">
        <f>VLOOKUP(InputData[[#This Row],[PRODUCT ID]],MasterData[],4,0)</f>
        <v>Lt</v>
      </c>
      <c r="J322" s="7">
        <f>VLOOKUP(InputData[[#This Row],[PRODUCT ID]],MasterData[],5,0)</f>
        <v>47</v>
      </c>
      <c r="K322" s="8">
        <f>VLOOKUP(InputData[[#This Row],[PRODUCT ID]],MasterData[],6,0)</f>
        <v>53.11</v>
      </c>
      <c r="L322" s="8">
        <f>InputData[[#This Row],[BUYING PRIZE]]*InputData[[#This Row],[QUANTITY]]</f>
        <v>282</v>
      </c>
      <c r="M322" s="8">
        <f>InputData[[#This Row],[SELLING PRICE]]*InputData[[#This Row],[QUANTITY]]*(1-InputData[[#This Row],[DISCOUNT %]])</f>
        <v>318.65999999999997</v>
      </c>
      <c r="N322" s="7">
        <f>DAY(InputData[[#This Row],[DATE]])</f>
        <v>9</v>
      </c>
      <c r="O322" s="7" t="str">
        <f>TEXT(InputData[[#This Row],[DATE]],"MMM")</f>
        <v>Mar</v>
      </c>
      <c r="P322" s="7">
        <f>YEAR(InputData[[#This Row],[DATE]])</f>
        <v>2021</v>
      </c>
    </row>
    <row r="323" spans="1:16" x14ac:dyDescent="0.25">
      <c r="A323" s="3">
        <v>44280</v>
      </c>
      <c r="B323" s="4" t="s">
        <v>67</v>
      </c>
      <c r="C323" s="5">
        <v>8</v>
      </c>
      <c r="D323" s="5" t="s">
        <v>108</v>
      </c>
      <c r="E323" s="5" t="s">
        <v>107</v>
      </c>
      <c r="F323" s="6">
        <v>0</v>
      </c>
      <c r="G323" s="7" t="str">
        <f>VLOOKUP(InputData[[#This Row],[PRODUCT ID]],MasterData[],2,0)</f>
        <v>Milk</v>
      </c>
      <c r="H323" s="7" t="str">
        <f>VLOOKUP(InputData[[#This Row],[PRODUCT ID]],MasterData[],3,0)</f>
        <v>Category04</v>
      </c>
      <c r="I323" s="7" t="str">
        <f>VLOOKUP(InputData[[#This Row],[PRODUCT ID]],MasterData[],4,0)</f>
        <v>Lt</v>
      </c>
      <c r="J323" s="7">
        <f>VLOOKUP(InputData[[#This Row],[PRODUCT ID]],MasterData[],5,0)</f>
        <v>47</v>
      </c>
      <c r="K323" s="8">
        <f>VLOOKUP(InputData[[#This Row],[PRODUCT ID]],MasterData[],6,0)</f>
        <v>53.11</v>
      </c>
      <c r="L323" s="8">
        <f>InputData[[#This Row],[BUYING PRIZE]]*InputData[[#This Row],[QUANTITY]]</f>
        <v>376</v>
      </c>
      <c r="M323" s="8">
        <f>InputData[[#This Row],[SELLING PRICE]]*InputData[[#This Row],[QUANTITY]]*(1-InputData[[#This Row],[DISCOUNT %]])</f>
        <v>424.88</v>
      </c>
      <c r="N323" s="7">
        <f>DAY(InputData[[#This Row],[DATE]])</f>
        <v>25</v>
      </c>
      <c r="O323" s="7" t="str">
        <f>TEXT(InputData[[#This Row],[DATE]],"MMM")</f>
        <v>Mar</v>
      </c>
      <c r="P323" s="7">
        <f>YEAR(InputData[[#This Row],[DATE]])</f>
        <v>2021</v>
      </c>
    </row>
    <row r="324" spans="1:16" x14ac:dyDescent="0.25">
      <c r="A324" s="3">
        <v>44298</v>
      </c>
      <c r="B324" s="4" t="s">
        <v>67</v>
      </c>
      <c r="C324" s="5">
        <v>4</v>
      </c>
      <c r="D324" s="5" t="s">
        <v>108</v>
      </c>
      <c r="E324" s="5" t="s">
        <v>106</v>
      </c>
      <c r="F324" s="6">
        <v>0</v>
      </c>
      <c r="G324" s="7" t="str">
        <f>VLOOKUP(InputData[[#This Row],[PRODUCT ID]],MasterData[],2,0)</f>
        <v>Milk</v>
      </c>
      <c r="H324" s="7" t="str">
        <f>VLOOKUP(InputData[[#This Row],[PRODUCT ID]],MasterData[],3,0)</f>
        <v>Category04</v>
      </c>
      <c r="I324" s="7" t="str">
        <f>VLOOKUP(InputData[[#This Row],[PRODUCT ID]],MasterData[],4,0)</f>
        <v>Lt</v>
      </c>
      <c r="J324" s="7">
        <f>VLOOKUP(InputData[[#This Row],[PRODUCT ID]],MasterData[],5,0)</f>
        <v>47</v>
      </c>
      <c r="K324" s="8">
        <f>VLOOKUP(InputData[[#This Row],[PRODUCT ID]],MasterData[],6,0)</f>
        <v>53.11</v>
      </c>
      <c r="L324" s="8">
        <f>InputData[[#This Row],[BUYING PRIZE]]*InputData[[#This Row],[QUANTITY]]</f>
        <v>188</v>
      </c>
      <c r="M324" s="8">
        <f>InputData[[#This Row],[SELLING PRICE]]*InputData[[#This Row],[QUANTITY]]*(1-InputData[[#This Row],[DISCOUNT %]])</f>
        <v>212.44</v>
      </c>
      <c r="N324" s="7">
        <f>DAY(InputData[[#This Row],[DATE]])</f>
        <v>12</v>
      </c>
      <c r="O324" s="7" t="str">
        <f>TEXT(InputData[[#This Row],[DATE]],"MMM")</f>
        <v>Apr</v>
      </c>
      <c r="P324" s="7">
        <f>YEAR(InputData[[#This Row],[DATE]])</f>
        <v>2021</v>
      </c>
    </row>
    <row r="325" spans="1:16" x14ac:dyDescent="0.25">
      <c r="A325" s="3">
        <v>44316</v>
      </c>
      <c r="B325" s="4" t="s">
        <v>67</v>
      </c>
      <c r="C325" s="5">
        <v>1</v>
      </c>
      <c r="D325" s="5" t="s">
        <v>108</v>
      </c>
      <c r="E325" s="5" t="s">
        <v>106</v>
      </c>
      <c r="F325" s="6">
        <v>0</v>
      </c>
      <c r="G325" s="7" t="str">
        <f>VLOOKUP(InputData[[#This Row],[PRODUCT ID]],MasterData[],2,0)</f>
        <v>Milk</v>
      </c>
      <c r="H325" s="7" t="str">
        <f>VLOOKUP(InputData[[#This Row],[PRODUCT ID]],MasterData[],3,0)</f>
        <v>Category04</v>
      </c>
      <c r="I325" s="7" t="str">
        <f>VLOOKUP(InputData[[#This Row],[PRODUCT ID]],MasterData[],4,0)</f>
        <v>Lt</v>
      </c>
      <c r="J325" s="7">
        <f>VLOOKUP(InputData[[#This Row],[PRODUCT ID]],MasterData[],5,0)</f>
        <v>47</v>
      </c>
      <c r="K325" s="8">
        <f>VLOOKUP(InputData[[#This Row],[PRODUCT ID]],MasterData[],6,0)</f>
        <v>53.11</v>
      </c>
      <c r="L325" s="8">
        <f>InputData[[#This Row],[BUYING PRIZE]]*InputData[[#This Row],[QUANTITY]]</f>
        <v>47</v>
      </c>
      <c r="M325" s="8">
        <f>InputData[[#This Row],[SELLING PRICE]]*InputData[[#This Row],[QUANTITY]]*(1-InputData[[#This Row],[DISCOUNT %]])</f>
        <v>53.11</v>
      </c>
      <c r="N325" s="7">
        <f>DAY(InputData[[#This Row],[DATE]])</f>
        <v>30</v>
      </c>
      <c r="O325" s="7" t="str">
        <f>TEXT(InputData[[#This Row],[DATE]],"MMM")</f>
        <v>Apr</v>
      </c>
      <c r="P325" s="7">
        <f>YEAR(InputData[[#This Row],[DATE]])</f>
        <v>2021</v>
      </c>
    </row>
    <row r="326" spans="1:16" x14ac:dyDescent="0.25">
      <c r="A326" s="3">
        <v>44329</v>
      </c>
      <c r="B326" s="4" t="s">
        <v>67</v>
      </c>
      <c r="C326" s="5">
        <v>4</v>
      </c>
      <c r="D326" s="5" t="s">
        <v>108</v>
      </c>
      <c r="E326" s="5" t="s">
        <v>106</v>
      </c>
      <c r="F326" s="6">
        <v>0</v>
      </c>
      <c r="G326" s="7" t="str">
        <f>VLOOKUP(InputData[[#This Row],[PRODUCT ID]],MasterData[],2,0)</f>
        <v>Milk</v>
      </c>
      <c r="H326" s="7" t="str">
        <f>VLOOKUP(InputData[[#This Row],[PRODUCT ID]],MasterData[],3,0)</f>
        <v>Category04</v>
      </c>
      <c r="I326" s="7" t="str">
        <f>VLOOKUP(InputData[[#This Row],[PRODUCT ID]],MasterData[],4,0)</f>
        <v>Lt</v>
      </c>
      <c r="J326" s="7">
        <f>VLOOKUP(InputData[[#This Row],[PRODUCT ID]],MasterData[],5,0)</f>
        <v>47</v>
      </c>
      <c r="K326" s="8">
        <f>VLOOKUP(InputData[[#This Row],[PRODUCT ID]],MasterData[],6,0)</f>
        <v>53.11</v>
      </c>
      <c r="L326" s="8">
        <f>InputData[[#This Row],[BUYING PRIZE]]*InputData[[#This Row],[QUANTITY]]</f>
        <v>188</v>
      </c>
      <c r="M326" s="8">
        <f>InputData[[#This Row],[SELLING PRICE]]*InputData[[#This Row],[QUANTITY]]*(1-InputData[[#This Row],[DISCOUNT %]])</f>
        <v>212.44</v>
      </c>
      <c r="N326" s="7">
        <f>DAY(InputData[[#This Row],[DATE]])</f>
        <v>13</v>
      </c>
      <c r="O326" s="7" t="str">
        <f>TEXT(InputData[[#This Row],[DATE]],"MMM")</f>
        <v>May</v>
      </c>
      <c r="P326" s="7">
        <f>YEAR(InputData[[#This Row],[DATE]])</f>
        <v>2021</v>
      </c>
    </row>
    <row r="327" spans="1:16" x14ac:dyDescent="0.25">
      <c r="A327" s="3">
        <v>44398</v>
      </c>
      <c r="B327" s="4" t="s">
        <v>67</v>
      </c>
      <c r="C327" s="5">
        <v>15</v>
      </c>
      <c r="D327" s="5" t="s">
        <v>108</v>
      </c>
      <c r="E327" s="5" t="s">
        <v>106</v>
      </c>
      <c r="F327" s="6">
        <v>0</v>
      </c>
      <c r="G327" s="7" t="str">
        <f>VLOOKUP(InputData[[#This Row],[PRODUCT ID]],MasterData[],2,0)</f>
        <v>Milk</v>
      </c>
      <c r="H327" s="7" t="str">
        <f>VLOOKUP(InputData[[#This Row],[PRODUCT ID]],MasterData[],3,0)</f>
        <v>Category04</v>
      </c>
      <c r="I327" s="7" t="str">
        <f>VLOOKUP(InputData[[#This Row],[PRODUCT ID]],MasterData[],4,0)</f>
        <v>Lt</v>
      </c>
      <c r="J327" s="7">
        <f>VLOOKUP(InputData[[#This Row],[PRODUCT ID]],MasterData[],5,0)</f>
        <v>47</v>
      </c>
      <c r="K327" s="8">
        <f>VLOOKUP(InputData[[#This Row],[PRODUCT ID]],MasterData[],6,0)</f>
        <v>53.11</v>
      </c>
      <c r="L327" s="8">
        <f>InputData[[#This Row],[BUYING PRIZE]]*InputData[[#This Row],[QUANTITY]]</f>
        <v>705</v>
      </c>
      <c r="M327" s="8">
        <f>InputData[[#This Row],[SELLING PRICE]]*InputData[[#This Row],[QUANTITY]]*(1-InputData[[#This Row],[DISCOUNT %]])</f>
        <v>796.65</v>
      </c>
      <c r="N327" s="7">
        <f>DAY(InputData[[#This Row],[DATE]])</f>
        <v>21</v>
      </c>
      <c r="O327" s="7" t="str">
        <f>TEXT(InputData[[#This Row],[DATE]],"MMM")</f>
        <v>Jul</v>
      </c>
      <c r="P327" s="7">
        <f>YEAR(InputData[[#This Row],[DATE]])</f>
        <v>2021</v>
      </c>
    </row>
    <row r="328" spans="1:16" x14ac:dyDescent="0.25">
      <c r="A328" s="3">
        <v>44549</v>
      </c>
      <c r="B328" s="4" t="s">
        <v>67</v>
      </c>
      <c r="C328" s="5">
        <v>3</v>
      </c>
      <c r="D328" s="5" t="s">
        <v>105</v>
      </c>
      <c r="E328" s="5" t="s">
        <v>106</v>
      </c>
      <c r="F328" s="6">
        <v>0</v>
      </c>
      <c r="G328" s="7" t="str">
        <f>VLOOKUP(InputData[[#This Row],[PRODUCT ID]],MasterData[],2,0)</f>
        <v>Milk</v>
      </c>
      <c r="H328" s="7" t="str">
        <f>VLOOKUP(InputData[[#This Row],[PRODUCT ID]],MasterData[],3,0)</f>
        <v>Category04</v>
      </c>
      <c r="I328" s="7" t="str">
        <f>VLOOKUP(InputData[[#This Row],[PRODUCT ID]],MasterData[],4,0)</f>
        <v>Lt</v>
      </c>
      <c r="J328" s="7">
        <f>VLOOKUP(InputData[[#This Row],[PRODUCT ID]],MasterData[],5,0)</f>
        <v>47</v>
      </c>
      <c r="K328" s="8">
        <f>VLOOKUP(InputData[[#This Row],[PRODUCT ID]],MasterData[],6,0)</f>
        <v>53.11</v>
      </c>
      <c r="L328" s="8">
        <f>InputData[[#This Row],[BUYING PRIZE]]*InputData[[#This Row],[QUANTITY]]</f>
        <v>141</v>
      </c>
      <c r="M328" s="8">
        <f>InputData[[#This Row],[SELLING PRICE]]*InputData[[#This Row],[QUANTITY]]*(1-InputData[[#This Row],[DISCOUNT %]])</f>
        <v>159.32999999999998</v>
      </c>
      <c r="N328" s="7">
        <f>DAY(InputData[[#This Row],[DATE]])</f>
        <v>19</v>
      </c>
      <c r="O328" s="7" t="str">
        <f>TEXT(InputData[[#This Row],[DATE]],"MMM")</f>
        <v>Dec</v>
      </c>
      <c r="P328" s="7">
        <f>YEAR(InputData[[#This Row],[DATE]])</f>
        <v>2021</v>
      </c>
    </row>
    <row r="329" spans="1:16" x14ac:dyDescent="0.25">
      <c r="A329" s="3">
        <v>44557</v>
      </c>
      <c r="B329" s="4" t="s">
        <v>67</v>
      </c>
      <c r="C329" s="5">
        <v>14</v>
      </c>
      <c r="D329" s="5" t="s">
        <v>108</v>
      </c>
      <c r="E329" s="5" t="s">
        <v>107</v>
      </c>
      <c r="F329" s="6">
        <v>0</v>
      </c>
      <c r="G329" s="7" t="str">
        <f>VLOOKUP(InputData[[#This Row],[PRODUCT ID]],MasterData[],2,0)</f>
        <v>Milk</v>
      </c>
      <c r="H329" s="7" t="str">
        <f>VLOOKUP(InputData[[#This Row],[PRODUCT ID]],MasterData[],3,0)</f>
        <v>Category04</v>
      </c>
      <c r="I329" s="7" t="str">
        <f>VLOOKUP(InputData[[#This Row],[PRODUCT ID]],MasterData[],4,0)</f>
        <v>Lt</v>
      </c>
      <c r="J329" s="7">
        <f>VLOOKUP(InputData[[#This Row],[PRODUCT ID]],MasterData[],5,0)</f>
        <v>47</v>
      </c>
      <c r="K329" s="8">
        <f>VLOOKUP(InputData[[#This Row],[PRODUCT ID]],MasterData[],6,0)</f>
        <v>53.11</v>
      </c>
      <c r="L329" s="8">
        <f>InputData[[#This Row],[BUYING PRIZE]]*InputData[[#This Row],[QUANTITY]]</f>
        <v>658</v>
      </c>
      <c r="M329" s="8">
        <f>InputData[[#This Row],[SELLING PRICE]]*InputData[[#This Row],[QUANTITY]]*(1-InputData[[#This Row],[DISCOUNT %]])</f>
        <v>743.54</v>
      </c>
      <c r="N329" s="7">
        <f>DAY(InputData[[#This Row],[DATE]])</f>
        <v>27</v>
      </c>
      <c r="O329" s="7" t="str">
        <f>TEXT(InputData[[#This Row],[DATE]],"MMM")</f>
        <v>Dec</v>
      </c>
      <c r="P329" s="7">
        <f>YEAR(InputData[[#This Row],[DATE]])</f>
        <v>2021</v>
      </c>
    </row>
    <row r="330" spans="1:16" x14ac:dyDescent="0.25">
      <c r="A330" s="3">
        <v>44558</v>
      </c>
      <c r="B330" s="4" t="s">
        <v>67</v>
      </c>
      <c r="C330" s="5">
        <v>6</v>
      </c>
      <c r="D330" s="5" t="s">
        <v>108</v>
      </c>
      <c r="E330" s="5" t="s">
        <v>107</v>
      </c>
      <c r="F330" s="6">
        <v>0</v>
      </c>
      <c r="G330" s="7" t="str">
        <f>VLOOKUP(InputData[[#This Row],[PRODUCT ID]],MasterData[],2,0)</f>
        <v>Milk</v>
      </c>
      <c r="H330" s="7" t="str">
        <f>VLOOKUP(InputData[[#This Row],[PRODUCT ID]],MasterData[],3,0)</f>
        <v>Category04</v>
      </c>
      <c r="I330" s="7" t="str">
        <f>VLOOKUP(InputData[[#This Row],[PRODUCT ID]],MasterData[],4,0)</f>
        <v>Lt</v>
      </c>
      <c r="J330" s="7">
        <f>VLOOKUP(InputData[[#This Row],[PRODUCT ID]],MasterData[],5,0)</f>
        <v>47</v>
      </c>
      <c r="K330" s="8">
        <f>VLOOKUP(InputData[[#This Row],[PRODUCT ID]],MasterData[],6,0)</f>
        <v>53.11</v>
      </c>
      <c r="L330" s="8">
        <f>InputData[[#This Row],[BUYING PRIZE]]*InputData[[#This Row],[QUANTITY]]</f>
        <v>282</v>
      </c>
      <c r="M330" s="8">
        <f>InputData[[#This Row],[SELLING PRICE]]*InputData[[#This Row],[QUANTITY]]*(1-InputData[[#This Row],[DISCOUNT %]])</f>
        <v>318.65999999999997</v>
      </c>
      <c r="N330" s="7">
        <f>DAY(InputData[[#This Row],[DATE]])</f>
        <v>28</v>
      </c>
      <c r="O330" s="7" t="str">
        <f>TEXT(InputData[[#This Row],[DATE]],"MMM")</f>
        <v>Dec</v>
      </c>
      <c r="P330" s="7">
        <f>YEAR(InputData[[#This Row],[DATE]])</f>
        <v>2021</v>
      </c>
    </row>
    <row r="331" spans="1:16" x14ac:dyDescent="0.25">
      <c r="A331" s="3">
        <v>44565</v>
      </c>
      <c r="B331" s="4" t="s">
        <v>67</v>
      </c>
      <c r="C331" s="5">
        <v>1</v>
      </c>
      <c r="D331" s="5" t="s">
        <v>106</v>
      </c>
      <c r="E331" s="5" t="s">
        <v>106</v>
      </c>
      <c r="F331" s="6">
        <v>0</v>
      </c>
      <c r="G331" s="7" t="str">
        <f>VLOOKUP(InputData[[#This Row],[PRODUCT ID]],MasterData[],2,0)</f>
        <v>Milk</v>
      </c>
      <c r="H331" s="7" t="str">
        <f>VLOOKUP(InputData[[#This Row],[PRODUCT ID]],MasterData[],3,0)</f>
        <v>Category04</v>
      </c>
      <c r="I331" s="7" t="str">
        <f>VLOOKUP(InputData[[#This Row],[PRODUCT ID]],MasterData[],4,0)</f>
        <v>Lt</v>
      </c>
      <c r="J331" s="7">
        <f>VLOOKUP(InputData[[#This Row],[PRODUCT ID]],MasterData[],5,0)</f>
        <v>47</v>
      </c>
      <c r="K331" s="8">
        <f>VLOOKUP(InputData[[#This Row],[PRODUCT ID]],MasterData[],6,0)</f>
        <v>53.11</v>
      </c>
      <c r="L331" s="8">
        <f>InputData[[#This Row],[BUYING PRIZE]]*InputData[[#This Row],[QUANTITY]]</f>
        <v>47</v>
      </c>
      <c r="M331" s="8">
        <f>InputData[[#This Row],[SELLING PRICE]]*InputData[[#This Row],[QUANTITY]]*(1-InputData[[#This Row],[DISCOUNT %]])</f>
        <v>53.11</v>
      </c>
      <c r="N331" s="7">
        <f>DAY(InputData[[#This Row],[DATE]])</f>
        <v>4</v>
      </c>
      <c r="O331" s="7" t="str">
        <f>TEXT(InputData[[#This Row],[DATE]],"MMM")</f>
        <v>Jan</v>
      </c>
      <c r="P331" s="7">
        <f>YEAR(InputData[[#This Row],[DATE]])</f>
        <v>2022</v>
      </c>
    </row>
    <row r="332" spans="1:16" x14ac:dyDescent="0.25">
      <c r="A332" s="3">
        <v>44728</v>
      </c>
      <c r="B332" s="4" t="s">
        <v>67</v>
      </c>
      <c r="C332" s="5">
        <v>15</v>
      </c>
      <c r="D332" s="5" t="s">
        <v>106</v>
      </c>
      <c r="E332" s="5" t="s">
        <v>107</v>
      </c>
      <c r="F332" s="6">
        <v>0</v>
      </c>
      <c r="G332" s="7" t="str">
        <f>VLOOKUP(InputData[[#This Row],[PRODUCT ID]],MasterData[],2,0)</f>
        <v>Milk</v>
      </c>
      <c r="H332" s="7" t="str">
        <f>VLOOKUP(InputData[[#This Row],[PRODUCT ID]],MasterData[],3,0)</f>
        <v>Category04</v>
      </c>
      <c r="I332" s="7" t="str">
        <f>VLOOKUP(InputData[[#This Row],[PRODUCT ID]],MasterData[],4,0)</f>
        <v>Lt</v>
      </c>
      <c r="J332" s="7">
        <f>VLOOKUP(InputData[[#This Row],[PRODUCT ID]],MasterData[],5,0)</f>
        <v>47</v>
      </c>
      <c r="K332" s="8">
        <f>VLOOKUP(InputData[[#This Row],[PRODUCT ID]],MasterData[],6,0)</f>
        <v>53.11</v>
      </c>
      <c r="L332" s="8">
        <f>InputData[[#This Row],[BUYING PRIZE]]*InputData[[#This Row],[QUANTITY]]</f>
        <v>705</v>
      </c>
      <c r="M332" s="8">
        <f>InputData[[#This Row],[SELLING PRICE]]*InputData[[#This Row],[QUANTITY]]*(1-InputData[[#This Row],[DISCOUNT %]])</f>
        <v>796.65</v>
      </c>
      <c r="N332" s="7">
        <f>DAY(InputData[[#This Row],[DATE]])</f>
        <v>16</v>
      </c>
      <c r="O332" s="7" t="str">
        <f>TEXT(InputData[[#This Row],[DATE]],"MMM")</f>
        <v>Jun</v>
      </c>
      <c r="P332" s="7">
        <f>YEAR(InputData[[#This Row],[DATE]])</f>
        <v>2022</v>
      </c>
    </row>
    <row r="333" spans="1:16" x14ac:dyDescent="0.25">
      <c r="A333" s="3">
        <v>44791</v>
      </c>
      <c r="B333" s="4" t="s">
        <v>67</v>
      </c>
      <c r="C333" s="5">
        <v>8</v>
      </c>
      <c r="D333" s="5" t="s">
        <v>106</v>
      </c>
      <c r="E333" s="5" t="s">
        <v>106</v>
      </c>
      <c r="F333" s="6">
        <v>0</v>
      </c>
      <c r="G333" s="7" t="str">
        <f>VLOOKUP(InputData[[#This Row],[PRODUCT ID]],MasterData[],2,0)</f>
        <v>Milk</v>
      </c>
      <c r="H333" s="7" t="str">
        <f>VLOOKUP(InputData[[#This Row],[PRODUCT ID]],MasterData[],3,0)</f>
        <v>Category04</v>
      </c>
      <c r="I333" s="7" t="str">
        <f>VLOOKUP(InputData[[#This Row],[PRODUCT ID]],MasterData[],4,0)</f>
        <v>Lt</v>
      </c>
      <c r="J333" s="7">
        <f>VLOOKUP(InputData[[#This Row],[PRODUCT ID]],MasterData[],5,0)</f>
        <v>47</v>
      </c>
      <c r="K333" s="8">
        <f>VLOOKUP(InputData[[#This Row],[PRODUCT ID]],MasterData[],6,0)</f>
        <v>53.11</v>
      </c>
      <c r="L333" s="8">
        <f>InputData[[#This Row],[BUYING PRIZE]]*InputData[[#This Row],[QUANTITY]]</f>
        <v>376</v>
      </c>
      <c r="M333" s="8">
        <f>InputData[[#This Row],[SELLING PRICE]]*InputData[[#This Row],[QUANTITY]]*(1-InputData[[#This Row],[DISCOUNT %]])</f>
        <v>424.88</v>
      </c>
      <c r="N333" s="7">
        <f>DAY(InputData[[#This Row],[DATE]])</f>
        <v>18</v>
      </c>
      <c r="O333" s="7" t="str">
        <f>TEXT(InputData[[#This Row],[DATE]],"MMM")</f>
        <v>Aug</v>
      </c>
      <c r="P333" s="7">
        <f>YEAR(InputData[[#This Row],[DATE]])</f>
        <v>2022</v>
      </c>
    </row>
    <row r="334" spans="1:16" x14ac:dyDescent="0.25">
      <c r="A334" s="3">
        <v>44796</v>
      </c>
      <c r="B334" s="4" t="s">
        <v>67</v>
      </c>
      <c r="C334" s="5">
        <v>14</v>
      </c>
      <c r="D334" s="5" t="s">
        <v>108</v>
      </c>
      <c r="E334" s="5" t="s">
        <v>107</v>
      </c>
      <c r="F334" s="6">
        <v>0</v>
      </c>
      <c r="G334" s="7" t="str">
        <f>VLOOKUP(InputData[[#This Row],[PRODUCT ID]],MasterData[],2,0)</f>
        <v>Milk</v>
      </c>
      <c r="H334" s="7" t="str">
        <f>VLOOKUP(InputData[[#This Row],[PRODUCT ID]],MasterData[],3,0)</f>
        <v>Category04</v>
      </c>
      <c r="I334" s="7" t="str">
        <f>VLOOKUP(InputData[[#This Row],[PRODUCT ID]],MasterData[],4,0)</f>
        <v>Lt</v>
      </c>
      <c r="J334" s="7">
        <f>VLOOKUP(InputData[[#This Row],[PRODUCT ID]],MasterData[],5,0)</f>
        <v>47</v>
      </c>
      <c r="K334" s="8">
        <f>VLOOKUP(InputData[[#This Row],[PRODUCT ID]],MasterData[],6,0)</f>
        <v>53.11</v>
      </c>
      <c r="L334" s="8">
        <f>InputData[[#This Row],[BUYING PRIZE]]*InputData[[#This Row],[QUANTITY]]</f>
        <v>658</v>
      </c>
      <c r="M334" s="8">
        <f>InputData[[#This Row],[SELLING PRICE]]*InputData[[#This Row],[QUANTITY]]*(1-InputData[[#This Row],[DISCOUNT %]])</f>
        <v>743.54</v>
      </c>
      <c r="N334" s="7">
        <f>DAY(InputData[[#This Row],[DATE]])</f>
        <v>23</v>
      </c>
      <c r="O334" s="7" t="str">
        <f>TEXT(InputData[[#This Row],[DATE]],"MMM")</f>
        <v>Aug</v>
      </c>
      <c r="P334" s="7">
        <f>YEAR(InputData[[#This Row],[DATE]])</f>
        <v>2022</v>
      </c>
    </row>
    <row r="335" spans="1:16" x14ac:dyDescent="0.25">
      <c r="A335" s="3">
        <v>44818</v>
      </c>
      <c r="B335" s="4" t="s">
        <v>67</v>
      </c>
      <c r="C335" s="5">
        <v>3</v>
      </c>
      <c r="D335" s="5" t="s">
        <v>108</v>
      </c>
      <c r="E335" s="5" t="s">
        <v>107</v>
      </c>
      <c r="F335" s="6">
        <v>0</v>
      </c>
      <c r="G335" s="7" t="str">
        <f>VLOOKUP(InputData[[#This Row],[PRODUCT ID]],MasterData[],2,0)</f>
        <v>Milk</v>
      </c>
      <c r="H335" s="7" t="str">
        <f>VLOOKUP(InputData[[#This Row],[PRODUCT ID]],MasterData[],3,0)</f>
        <v>Category04</v>
      </c>
      <c r="I335" s="7" t="str">
        <f>VLOOKUP(InputData[[#This Row],[PRODUCT ID]],MasterData[],4,0)</f>
        <v>Lt</v>
      </c>
      <c r="J335" s="7">
        <f>VLOOKUP(InputData[[#This Row],[PRODUCT ID]],MasterData[],5,0)</f>
        <v>47</v>
      </c>
      <c r="K335" s="8">
        <f>VLOOKUP(InputData[[#This Row],[PRODUCT ID]],MasterData[],6,0)</f>
        <v>53.11</v>
      </c>
      <c r="L335" s="8">
        <f>InputData[[#This Row],[BUYING PRIZE]]*InputData[[#This Row],[QUANTITY]]</f>
        <v>141</v>
      </c>
      <c r="M335" s="8">
        <f>InputData[[#This Row],[SELLING PRICE]]*InputData[[#This Row],[QUANTITY]]*(1-InputData[[#This Row],[DISCOUNT %]])</f>
        <v>159.32999999999998</v>
      </c>
      <c r="N335" s="7">
        <f>DAY(InputData[[#This Row],[DATE]])</f>
        <v>14</v>
      </c>
      <c r="O335" s="7" t="str">
        <f>TEXT(InputData[[#This Row],[DATE]],"MMM")</f>
        <v>Sep</v>
      </c>
      <c r="P335" s="7">
        <f>YEAR(InputData[[#This Row],[DATE]])</f>
        <v>2022</v>
      </c>
    </row>
    <row r="336" spans="1:16" x14ac:dyDescent="0.25">
      <c r="A336" s="3">
        <v>44247</v>
      </c>
      <c r="B336" s="4" t="s">
        <v>69</v>
      </c>
      <c r="C336" s="5">
        <v>11</v>
      </c>
      <c r="D336" s="5" t="s">
        <v>106</v>
      </c>
      <c r="E336" s="5" t="s">
        <v>107</v>
      </c>
      <c r="F336" s="6">
        <v>0</v>
      </c>
      <c r="G336" s="7" t="str">
        <f>VLOOKUP(InputData[[#This Row],[PRODUCT ID]],MasterData[],2,0)</f>
        <v>Plates</v>
      </c>
      <c r="H336" s="7" t="str">
        <f>VLOOKUP(InputData[[#This Row],[PRODUCT ID]],MasterData[],3,0)</f>
        <v>Category04</v>
      </c>
      <c r="I336" s="7" t="str">
        <f>VLOOKUP(InputData[[#This Row],[PRODUCT ID]],MasterData[],4,0)</f>
        <v>Ft</v>
      </c>
      <c r="J336" s="7">
        <f>VLOOKUP(InputData[[#This Row],[PRODUCT ID]],MasterData[],5,0)</f>
        <v>148</v>
      </c>
      <c r="K336" s="8">
        <f>VLOOKUP(InputData[[#This Row],[PRODUCT ID]],MasterData[],6,0)</f>
        <v>201.28</v>
      </c>
      <c r="L336" s="8">
        <f>InputData[[#This Row],[BUYING PRIZE]]*InputData[[#This Row],[QUANTITY]]</f>
        <v>1628</v>
      </c>
      <c r="M336" s="8">
        <f>InputData[[#This Row],[SELLING PRICE]]*InputData[[#This Row],[QUANTITY]]*(1-InputData[[#This Row],[DISCOUNT %]])</f>
        <v>2214.08</v>
      </c>
      <c r="N336" s="7">
        <f>DAY(InputData[[#This Row],[DATE]])</f>
        <v>20</v>
      </c>
      <c r="O336" s="7" t="str">
        <f>TEXT(InputData[[#This Row],[DATE]],"MMM")</f>
        <v>Feb</v>
      </c>
      <c r="P336" s="7">
        <f>YEAR(InputData[[#This Row],[DATE]])</f>
        <v>2021</v>
      </c>
    </row>
    <row r="337" spans="1:16" x14ac:dyDescent="0.25">
      <c r="A337" s="3">
        <v>44252</v>
      </c>
      <c r="B337" s="4" t="s">
        <v>69</v>
      </c>
      <c r="C337" s="5">
        <v>2</v>
      </c>
      <c r="D337" s="5" t="s">
        <v>108</v>
      </c>
      <c r="E337" s="5" t="s">
        <v>106</v>
      </c>
      <c r="F337" s="6">
        <v>0</v>
      </c>
      <c r="G337" s="7" t="str">
        <f>VLOOKUP(InputData[[#This Row],[PRODUCT ID]],MasterData[],2,0)</f>
        <v>Plates</v>
      </c>
      <c r="H337" s="7" t="str">
        <f>VLOOKUP(InputData[[#This Row],[PRODUCT ID]],MasterData[],3,0)</f>
        <v>Category04</v>
      </c>
      <c r="I337" s="7" t="str">
        <f>VLOOKUP(InputData[[#This Row],[PRODUCT ID]],MasterData[],4,0)</f>
        <v>Ft</v>
      </c>
      <c r="J337" s="7">
        <f>VLOOKUP(InputData[[#This Row],[PRODUCT ID]],MasterData[],5,0)</f>
        <v>148</v>
      </c>
      <c r="K337" s="8">
        <f>VLOOKUP(InputData[[#This Row],[PRODUCT ID]],MasterData[],6,0)</f>
        <v>201.28</v>
      </c>
      <c r="L337" s="8">
        <f>InputData[[#This Row],[BUYING PRIZE]]*InputData[[#This Row],[QUANTITY]]</f>
        <v>296</v>
      </c>
      <c r="M337" s="8">
        <f>InputData[[#This Row],[SELLING PRICE]]*InputData[[#This Row],[QUANTITY]]*(1-InputData[[#This Row],[DISCOUNT %]])</f>
        <v>402.56</v>
      </c>
      <c r="N337" s="7">
        <f>DAY(InputData[[#This Row],[DATE]])</f>
        <v>25</v>
      </c>
      <c r="O337" s="7" t="str">
        <f>TEXT(InputData[[#This Row],[DATE]],"MMM")</f>
        <v>Feb</v>
      </c>
      <c r="P337" s="7">
        <f>YEAR(InputData[[#This Row],[DATE]])</f>
        <v>2021</v>
      </c>
    </row>
    <row r="338" spans="1:16" x14ac:dyDescent="0.25">
      <c r="A338" s="3">
        <v>44282</v>
      </c>
      <c r="B338" s="4" t="s">
        <v>69</v>
      </c>
      <c r="C338" s="5">
        <v>3</v>
      </c>
      <c r="D338" s="5" t="s">
        <v>108</v>
      </c>
      <c r="E338" s="5" t="s">
        <v>106</v>
      </c>
      <c r="F338" s="6">
        <v>0</v>
      </c>
      <c r="G338" s="7" t="str">
        <f>VLOOKUP(InputData[[#This Row],[PRODUCT ID]],MasterData[],2,0)</f>
        <v>Plates</v>
      </c>
      <c r="H338" s="7" t="str">
        <f>VLOOKUP(InputData[[#This Row],[PRODUCT ID]],MasterData[],3,0)</f>
        <v>Category04</v>
      </c>
      <c r="I338" s="7" t="str">
        <f>VLOOKUP(InputData[[#This Row],[PRODUCT ID]],MasterData[],4,0)</f>
        <v>Ft</v>
      </c>
      <c r="J338" s="7">
        <f>VLOOKUP(InputData[[#This Row],[PRODUCT ID]],MasterData[],5,0)</f>
        <v>148</v>
      </c>
      <c r="K338" s="8">
        <f>VLOOKUP(InputData[[#This Row],[PRODUCT ID]],MasterData[],6,0)</f>
        <v>201.28</v>
      </c>
      <c r="L338" s="8">
        <f>InputData[[#This Row],[BUYING PRIZE]]*InputData[[#This Row],[QUANTITY]]</f>
        <v>444</v>
      </c>
      <c r="M338" s="8">
        <f>InputData[[#This Row],[SELLING PRICE]]*InputData[[#This Row],[QUANTITY]]*(1-InputData[[#This Row],[DISCOUNT %]])</f>
        <v>603.84</v>
      </c>
      <c r="N338" s="7">
        <f>DAY(InputData[[#This Row],[DATE]])</f>
        <v>27</v>
      </c>
      <c r="O338" s="7" t="str">
        <f>TEXT(InputData[[#This Row],[DATE]],"MMM")</f>
        <v>Mar</v>
      </c>
      <c r="P338" s="7">
        <f>YEAR(InputData[[#This Row],[DATE]])</f>
        <v>2021</v>
      </c>
    </row>
    <row r="339" spans="1:16" x14ac:dyDescent="0.25">
      <c r="A339" s="3">
        <v>44310</v>
      </c>
      <c r="B339" s="4" t="s">
        <v>69</v>
      </c>
      <c r="C339" s="5">
        <v>2</v>
      </c>
      <c r="D339" s="5" t="s">
        <v>106</v>
      </c>
      <c r="E339" s="5" t="s">
        <v>106</v>
      </c>
      <c r="F339" s="6">
        <v>0</v>
      </c>
      <c r="G339" s="7" t="str">
        <f>VLOOKUP(InputData[[#This Row],[PRODUCT ID]],MasterData[],2,0)</f>
        <v>Plates</v>
      </c>
      <c r="H339" s="7" t="str">
        <f>VLOOKUP(InputData[[#This Row],[PRODUCT ID]],MasterData[],3,0)</f>
        <v>Category04</v>
      </c>
      <c r="I339" s="7" t="str">
        <f>VLOOKUP(InputData[[#This Row],[PRODUCT ID]],MasterData[],4,0)</f>
        <v>Ft</v>
      </c>
      <c r="J339" s="7">
        <f>VLOOKUP(InputData[[#This Row],[PRODUCT ID]],MasterData[],5,0)</f>
        <v>148</v>
      </c>
      <c r="K339" s="8">
        <f>VLOOKUP(InputData[[#This Row],[PRODUCT ID]],MasterData[],6,0)</f>
        <v>201.28</v>
      </c>
      <c r="L339" s="8">
        <f>InputData[[#This Row],[BUYING PRIZE]]*InputData[[#This Row],[QUANTITY]]</f>
        <v>296</v>
      </c>
      <c r="M339" s="8">
        <f>InputData[[#This Row],[SELLING PRICE]]*InputData[[#This Row],[QUANTITY]]*(1-InputData[[#This Row],[DISCOUNT %]])</f>
        <v>402.56</v>
      </c>
      <c r="N339" s="7">
        <f>DAY(InputData[[#This Row],[DATE]])</f>
        <v>24</v>
      </c>
      <c r="O339" s="7" t="str">
        <f>TEXT(InputData[[#This Row],[DATE]],"MMM")</f>
        <v>Apr</v>
      </c>
      <c r="P339" s="7">
        <f>YEAR(InputData[[#This Row],[DATE]])</f>
        <v>2021</v>
      </c>
    </row>
    <row r="340" spans="1:16" x14ac:dyDescent="0.25">
      <c r="A340" s="3">
        <v>44315</v>
      </c>
      <c r="B340" s="4" t="s">
        <v>69</v>
      </c>
      <c r="C340" s="5">
        <v>7</v>
      </c>
      <c r="D340" s="5" t="s">
        <v>108</v>
      </c>
      <c r="E340" s="5" t="s">
        <v>106</v>
      </c>
      <c r="F340" s="6">
        <v>0</v>
      </c>
      <c r="G340" s="7" t="str">
        <f>VLOOKUP(InputData[[#This Row],[PRODUCT ID]],MasterData[],2,0)</f>
        <v>Plates</v>
      </c>
      <c r="H340" s="7" t="str">
        <f>VLOOKUP(InputData[[#This Row],[PRODUCT ID]],MasterData[],3,0)</f>
        <v>Category04</v>
      </c>
      <c r="I340" s="7" t="str">
        <f>VLOOKUP(InputData[[#This Row],[PRODUCT ID]],MasterData[],4,0)</f>
        <v>Ft</v>
      </c>
      <c r="J340" s="7">
        <f>VLOOKUP(InputData[[#This Row],[PRODUCT ID]],MasterData[],5,0)</f>
        <v>148</v>
      </c>
      <c r="K340" s="8">
        <f>VLOOKUP(InputData[[#This Row],[PRODUCT ID]],MasterData[],6,0)</f>
        <v>201.28</v>
      </c>
      <c r="L340" s="8">
        <f>InputData[[#This Row],[BUYING PRIZE]]*InputData[[#This Row],[QUANTITY]]</f>
        <v>1036</v>
      </c>
      <c r="M340" s="8">
        <f>InputData[[#This Row],[SELLING PRICE]]*InputData[[#This Row],[QUANTITY]]*(1-InputData[[#This Row],[DISCOUNT %]])</f>
        <v>1408.96</v>
      </c>
      <c r="N340" s="7">
        <f>DAY(InputData[[#This Row],[DATE]])</f>
        <v>29</v>
      </c>
      <c r="O340" s="7" t="str">
        <f>TEXT(InputData[[#This Row],[DATE]],"MMM")</f>
        <v>Apr</v>
      </c>
      <c r="P340" s="7">
        <f>YEAR(InputData[[#This Row],[DATE]])</f>
        <v>2021</v>
      </c>
    </row>
    <row r="341" spans="1:16" x14ac:dyDescent="0.25">
      <c r="A341" s="3">
        <v>44449</v>
      </c>
      <c r="B341" s="4" t="s">
        <v>69</v>
      </c>
      <c r="C341" s="5">
        <v>6</v>
      </c>
      <c r="D341" s="5" t="s">
        <v>108</v>
      </c>
      <c r="E341" s="5" t="s">
        <v>106</v>
      </c>
      <c r="F341" s="6">
        <v>0</v>
      </c>
      <c r="G341" s="7" t="str">
        <f>VLOOKUP(InputData[[#This Row],[PRODUCT ID]],MasterData[],2,0)</f>
        <v>Plates</v>
      </c>
      <c r="H341" s="7" t="str">
        <f>VLOOKUP(InputData[[#This Row],[PRODUCT ID]],MasterData[],3,0)</f>
        <v>Category04</v>
      </c>
      <c r="I341" s="7" t="str">
        <f>VLOOKUP(InputData[[#This Row],[PRODUCT ID]],MasterData[],4,0)</f>
        <v>Ft</v>
      </c>
      <c r="J341" s="7">
        <f>VLOOKUP(InputData[[#This Row],[PRODUCT ID]],MasterData[],5,0)</f>
        <v>148</v>
      </c>
      <c r="K341" s="8">
        <f>VLOOKUP(InputData[[#This Row],[PRODUCT ID]],MasterData[],6,0)</f>
        <v>201.28</v>
      </c>
      <c r="L341" s="8">
        <f>InputData[[#This Row],[BUYING PRIZE]]*InputData[[#This Row],[QUANTITY]]</f>
        <v>888</v>
      </c>
      <c r="M341" s="8">
        <f>InputData[[#This Row],[SELLING PRICE]]*InputData[[#This Row],[QUANTITY]]*(1-InputData[[#This Row],[DISCOUNT %]])</f>
        <v>1207.68</v>
      </c>
      <c r="N341" s="7">
        <f>DAY(InputData[[#This Row],[DATE]])</f>
        <v>10</v>
      </c>
      <c r="O341" s="7" t="str">
        <f>TEXT(InputData[[#This Row],[DATE]],"MMM")</f>
        <v>Sep</v>
      </c>
      <c r="P341" s="7">
        <f>YEAR(InputData[[#This Row],[DATE]])</f>
        <v>2021</v>
      </c>
    </row>
    <row r="342" spans="1:16" x14ac:dyDescent="0.25">
      <c r="A342" s="3">
        <v>44470</v>
      </c>
      <c r="B342" s="4" t="s">
        <v>69</v>
      </c>
      <c r="C342" s="5">
        <v>14</v>
      </c>
      <c r="D342" s="5" t="s">
        <v>106</v>
      </c>
      <c r="E342" s="5" t="s">
        <v>107</v>
      </c>
      <c r="F342" s="6">
        <v>0</v>
      </c>
      <c r="G342" s="7" t="str">
        <f>VLOOKUP(InputData[[#This Row],[PRODUCT ID]],MasterData[],2,0)</f>
        <v>Plates</v>
      </c>
      <c r="H342" s="7" t="str">
        <f>VLOOKUP(InputData[[#This Row],[PRODUCT ID]],MasterData[],3,0)</f>
        <v>Category04</v>
      </c>
      <c r="I342" s="7" t="str">
        <f>VLOOKUP(InputData[[#This Row],[PRODUCT ID]],MasterData[],4,0)</f>
        <v>Ft</v>
      </c>
      <c r="J342" s="7">
        <f>VLOOKUP(InputData[[#This Row],[PRODUCT ID]],MasterData[],5,0)</f>
        <v>148</v>
      </c>
      <c r="K342" s="8">
        <f>VLOOKUP(InputData[[#This Row],[PRODUCT ID]],MasterData[],6,0)</f>
        <v>201.28</v>
      </c>
      <c r="L342" s="8">
        <f>InputData[[#This Row],[BUYING PRIZE]]*InputData[[#This Row],[QUANTITY]]</f>
        <v>2072</v>
      </c>
      <c r="M342" s="8">
        <f>InputData[[#This Row],[SELLING PRICE]]*InputData[[#This Row],[QUANTITY]]*(1-InputData[[#This Row],[DISCOUNT %]])</f>
        <v>2817.92</v>
      </c>
      <c r="N342" s="7">
        <f>DAY(InputData[[#This Row],[DATE]])</f>
        <v>1</v>
      </c>
      <c r="O342" s="7" t="str">
        <f>TEXT(InputData[[#This Row],[DATE]],"MMM")</f>
        <v>Oct</v>
      </c>
      <c r="P342" s="7">
        <f>YEAR(InputData[[#This Row],[DATE]])</f>
        <v>2021</v>
      </c>
    </row>
    <row r="343" spans="1:16" x14ac:dyDescent="0.25">
      <c r="A343" s="3">
        <v>44585</v>
      </c>
      <c r="B343" s="4" t="s">
        <v>69</v>
      </c>
      <c r="C343" s="5">
        <v>15</v>
      </c>
      <c r="D343" s="5" t="s">
        <v>106</v>
      </c>
      <c r="E343" s="5" t="s">
        <v>106</v>
      </c>
      <c r="F343" s="6">
        <v>0</v>
      </c>
      <c r="G343" s="7" t="str">
        <f>VLOOKUP(InputData[[#This Row],[PRODUCT ID]],MasterData[],2,0)</f>
        <v>Plates</v>
      </c>
      <c r="H343" s="7" t="str">
        <f>VLOOKUP(InputData[[#This Row],[PRODUCT ID]],MasterData[],3,0)</f>
        <v>Category04</v>
      </c>
      <c r="I343" s="7" t="str">
        <f>VLOOKUP(InputData[[#This Row],[PRODUCT ID]],MasterData[],4,0)</f>
        <v>Ft</v>
      </c>
      <c r="J343" s="7">
        <f>VLOOKUP(InputData[[#This Row],[PRODUCT ID]],MasterData[],5,0)</f>
        <v>148</v>
      </c>
      <c r="K343" s="8">
        <f>VLOOKUP(InputData[[#This Row],[PRODUCT ID]],MasterData[],6,0)</f>
        <v>201.28</v>
      </c>
      <c r="L343" s="8">
        <f>InputData[[#This Row],[BUYING PRIZE]]*InputData[[#This Row],[QUANTITY]]</f>
        <v>2220</v>
      </c>
      <c r="M343" s="8">
        <f>InputData[[#This Row],[SELLING PRICE]]*InputData[[#This Row],[QUANTITY]]*(1-InputData[[#This Row],[DISCOUNT %]])</f>
        <v>3019.2</v>
      </c>
      <c r="N343" s="7">
        <f>DAY(InputData[[#This Row],[DATE]])</f>
        <v>24</v>
      </c>
      <c r="O343" s="7" t="str">
        <f>TEXT(InputData[[#This Row],[DATE]],"MMM")</f>
        <v>Jan</v>
      </c>
      <c r="P343" s="7">
        <f>YEAR(InputData[[#This Row],[DATE]])</f>
        <v>2022</v>
      </c>
    </row>
    <row r="344" spans="1:16" x14ac:dyDescent="0.25">
      <c r="A344" s="3">
        <v>44629</v>
      </c>
      <c r="B344" s="4" t="s">
        <v>69</v>
      </c>
      <c r="C344" s="5">
        <v>3</v>
      </c>
      <c r="D344" s="5" t="s">
        <v>108</v>
      </c>
      <c r="E344" s="5" t="s">
        <v>106</v>
      </c>
      <c r="F344" s="6">
        <v>0</v>
      </c>
      <c r="G344" s="7" t="str">
        <f>VLOOKUP(InputData[[#This Row],[PRODUCT ID]],MasterData[],2,0)</f>
        <v>Plates</v>
      </c>
      <c r="H344" s="7" t="str">
        <f>VLOOKUP(InputData[[#This Row],[PRODUCT ID]],MasterData[],3,0)</f>
        <v>Category04</v>
      </c>
      <c r="I344" s="7" t="str">
        <f>VLOOKUP(InputData[[#This Row],[PRODUCT ID]],MasterData[],4,0)</f>
        <v>Ft</v>
      </c>
      <c r="J344" s="7">
        <f>VLOOKUP(InputData[[#This Row],[PRODUCT ID]],MasterData[],5,0)</f>
        <v>148</v>
      </c>
      <c r="K344" s="8">
        <f>VLOOKUP(InputData[[#This Row],[PRODUCT ID]],MasterData[],6,0)</f>
        <v>201.28</v>
      </c>
      <c r="L344" s="8">
        <f>InputData[[#This Row],[BUYING PRIZE]]*InputData[[#This Row],[QUANTITY]]</f>
        <v>444</v>
      </c>
      <c r="M344" s="8">
        <f>InputData[[#This Row],[SELLING PRICE]]*InputData[[#This Row],[QUANTITY]]*(1-InputData[[#This Row],[DISCOUNT %]])</f>
        <v>603.84</v>
      </c>
      <c r="N344" s="7">
        <f>DAY(InputData[[#This Row],[DATE]])</f>
        <v>9</v>
      </c>
      <c r="O344" s="7" t="str">
        <f>TEXT(InputData[[#This Row],[DATE]],"MMM")</f>
        <v>Mar</v>
      </c>
      <c r="P344" s="7">
        <f>YEAR(InputData[[#This Row],[DATE]])</f>
        <v>2022</v>
      </c>
    </row>
    <row r="345" spans="1:16" x14ac:dyDescent="0.25">
      <c r="A345" s="3">
        <v>44645</v>
      </c>
      <c r="B345" s="4" t="s">
        <v>69</v>
      </c>
      <c r="C345" s="5">
        <v>11</v>
      </c>
      <c r="D345" s="5" t="s">
        <v>108</v>
      </c>
      <c r="E345" s="5" t="s">
        <v>106</v>
      </c>
      <c r="F345" s="6">
        <v>0</v>
      </c>
      <c r="G345" s="7" t="str">
        <f>VLOOKUP(InputData[[#This Row],[PRODUCT ID]],MasterData[],2,0)</f>
        <v>Plates</v>
      </c>
      <c r="H345" s="7" t="str">
        <f>VLOOKUP(InputData[[#This Row],[PRODUCT ID]],MasterData[],3,0)</f>
        <v>Category04</v>
      </c>
      <c r="I345" s="7" t="str">
        <f>VLOOKUP(InputData[[#This Row],[PRODUCT ID]],MasterData[],4,0)</f>
        <v>Ft</v>
      </c>
      <c r="J345" s="7">
        <f>VLOOKUP(InputData[[#This Row],[PRODUCT ID]],MasterData[],5,0)</f>
        <v>148</v>
      </c>
      <c r="K345" s="8">
        <f>VLOOKUP(InputData[[#This Row],[PRODUCT ID]],MasterData[],6,0)</f>
        <v>201.28</v>
      </c>
      <c r="L345" s="8">
        <f>InputData[[#This Row],[BUYING PRIZE]]*InputData[[#This Row],[QUANTITY]]</f>
        <v>1628</v>
      </c>
      <c r="M345" s="8">
        <f>InputData[[#This Row],[SELLING PRICE]]*InputData[[#This Row],[QUANTITY]]*(1-InputData[[#This Row],[DISCOUNT %]])</f>
        <v>2214.08</v>
      </c>
      <c r="N345" s="7">
        <f>DAY(InputData[[#This Row],[DATE]])</f>
        <v>25</v>
      </c>
      <c r="O345" s="7" t="str">
        <f>TEXT(InputData[[#This Row],[DATE]],"MMM")</f>
        <v>Mar</v>
      </c>
      <c r="P345" s="7">
        <f>YEAR(InputData[[#This Row],[DATE]])</f>
        <v>2022</v>
      </c>
    </row>
    <row r="346" spans="1:16" x14ac:dyDescent="0.25">
      <c r="A346" s="3">
        <v>44672</v>
      </c>
      <c r="B346" s="4" t="s">
        <v>69</v>
      </c>
      <c r="C346" s="5">
        <v>2</v>
      </c>
      <c r="D346" s="5" t="s">
        <v>108</v>
      </c>
      <c r="E346" s="5" t="s">
        <v>107</v>
      </c>
      <c r="F346" s="6">
        <v>0</v>
      </c>
      <c r="G346" s="7" t="str">
        <f>VLOOKUP(InputData[[#This Row],[PRODUCT ID]],MasterData[],2,0)</f>
        <v>Plates</v>
      </c>
      <c r="H346" s="7" t="str">
        <f>VLOOKUP(InputData[[#This Row],[PRODUCT ID]],MasterData[],3,0)</f>
        <v>Category04</v>
      </c>
      <c r="I346" s="7" t="str">
        <f>VLOOKUP(InputData[[#This Row],[PRODUCT ID]],MasterData[],4,0)</f>
        <v>Ft</v>
      </c>
      <c r="J346" s="7">
        <f>VLOOKUP(InputData[[#This Row],[PRODUCT ID]],MasterData[],5,0)</f>
        <v>148</v>
      </c>
      <c r="K346" s="8">
        <f>VLOOKUP(InputData[[#This Row],[PRODUCT ID]],MasterData[],6,0)</f>
        <v>201.28</v>
      </c>
      <c r="L346" s="8">
        <f>InputData[[#This Row],[BUYING PRIZE]]*InputData[[#This Row],[QUANTITY]]</f>
        <v>296</v>
      </c>
      <c r="M346" s="8">
        <f>InputData[[#This Row],[SELLING PRICE]]*InputData[[#This Row],[QUANTITY]]*(1-InputData[[#This Row],[DISCOUNT %]])</f>
        <v>402.56</v>
      </c>
      <c r="N346" s="7">
        <f>DAY(InputData[[#This Row],[DATE]])</f>
        <v>21</v>
      </c>
      <c r="O346" s="7" t="str">
        <f>TEXT(InputData[[#This Row],[DATE]],"MMM")</f>
        <v>Apr</v>
      </c>
      <c r="P346" s="7">
        <f>YEAR(InputData[[#This Row],[DATE]])</f>
        <v>2022</v>
      </c>
    </row>
    <row r="347" spans="1:16" x14ac:dyDescent="0.25">
      <c r="A347" s="3">
        <v>44787</v>
      </c>
      <c r="B347" s="4" t="s">
        <v>69</v>
      </c>
      <c r="C347" s="5">
        <v>14</v>
      </c>
      <c r="D347" s="5" t="s">
        <v>108</v>
      </c>
      <c r="E347" s="5" t="s">
        <v>107</v>
      </c>
      <c r="F347" s="6">
        <v>0</v>
      </c>
      <c r="G347" s="7" t="str">
        <f>VLOOKUP(InputData[[#This Row],[PRODUCT ID]],MasterData[],2,0)</f>
        <v>Plates</v>
      </c>
      <c r="H347" s="7" t="str">
        <f>VLOOKUP(InputData[[#This Row],[PRODUCT ID]],MasterData[],3,0)</f>
        <v>Category04</v>
      </c>
      <c r="I347" s="7" t="str">
        <f>VLOOKUP(InputData[[#This Row],[PRODUCT ID]],MasterData[],4,0)</f>
        <v>Ft</v>
      </c>
      <c r="J347" s="7">
        <f>VLOOKUP(InputData[[#This Row],[PRODUCT ID]],MasterData[],5,0)</f>
        <v>148</v>
      </c>
      <c r="K347" s="8">
        <f>VLOOKUP(InputData[[#This Row],[PRODUCT ID]],MasterData[],6,0)</f>
        <v>201.28</v>
      </c>
      <c r="L347" s="8">
        <f>InputData[[#This Row],[BUYING PRIZE]]*InputData[[#This Row],[QUANTITY]]</f>
        <v>2072</v>
      </c>
      <c r="M347" s="8">
        <f>InputData[[#This Row],[SELLING PRICE]]*InputData[[#This Row],[QUANTITY]]*(1-InputData[[#This Row],[DISCOUNT %]])</f>
        <v>2817.92</v>
      </c>
      <c r="N347" s="7">
        <f>DAY(InputData[[#This Row],[DATE]])</f>
        <v>14</v>
      </c>
      <c r="O347" s="7" t="str">
        <f>TEXT(InputData[[#This Row],[DATE]],"MMM")</f>
        <v>Aug</v>
      </c>
      <c r="P347" s="7">
        <f>YEAR(InputData[[#This Row],[DATE]])</f>
        <v>2022</v>
      </c>
    </row>
    <row r="348" spans="1:16" x14ac:dyDescent="0.25">
      <c r="A348" s="3">
        <v>44867</v>
      </c>
      <c r="B348" s="4" t="s">
        <v>69</v>
      </c>
      <c r="C348" s="5">
        <v>15</v>
      </c>
      <c r="D348" s="5" t="s">
        <v>108</v>
      </c>
      <c r="E348" s="5" t="s">
        <v>107</v>
      </c>
      <c r="F348" s="6">
        <v>0</v>
      </c>
      <c r="G348" s="7" t="str">
        <f>VLOOKUP(InputData[[#This Row],[PRODUCT ID]],MasterData[],2,0)</f>
        <v>Plates</v>
      </c>
      <c r="H348" s="7" t="str">
        <f>VLOOKUP(InputData[[#This Row],[PRODUCT ID]],MasterData[],3,0)</f>
        <v>Category04</v>
      </c>
      <c r="I348" s="7" t="str">
        <f>VLOOKUP(InputData[[#This Row],[PRODUCT ID]],MasterData[],4,0)</f>
        <v>Ft</v>
      </c>
      <c r="J348" s="7">
        <f>VLOOKUP(InputData[[#This Row],[PRODUCT ID]],MasterData[],5,0)</f>
        <v>148</v>
      </c>
      <c r="K348" s="8">
        <f>VLOOKUP(InputData[[#This Row],[PRODUCT ID]],MasterData[],6,0)</f>
        <v>201.28</v>
      </c>
      <c r="L348" s="8">
        <f>InputData[[#This Row],[BUYING PRIZE]]*InputData[[#This Row],[QUANTITY]]</f>
        <v>2220</v>
      </c>
      <c r="M348" s="8">
        <f>InputData[[#This Row],[SELLING PRICE]]*InputData[[#This Row],[QUANTITY]]*(1-InputData[[#This Row],[DISCOUNT %]])</f>
        <v>3019.2</v>
      </c>
      <c r="N348" s="7">
        <f>DAY(InputData[[#This Row],[DATE]])</f>
        <v>2</v>
      </c>
      <c r="O348" s="7" t="str">
        <f>TEXT(InputData[[#This Row],[DATE]],"MMM")</f>
        <v>Nov</v>
      </c>
      <c r="P348" s="7">
        <f>YEAR(InputData[[#This Row],[DATE]])</f>
        <v>2022</v>
      </c>
    </row>
    <row r="349" spans="1:16" x14ac:dyDescent="0.25">
      <c r="A349" s="3">
        <v>44907</v>
      </c>
      <c r="B349" s="4" t="s">
        <v>69</v>
      </c>
      <c r="C349" s="5">
        <v>9</v>
      </c>
      <c r="D349" s="5" t="s">
        <v>105</v>
      </c>
      <c r="E349" s="5" t="s">
        <v>107</v>
      </c>
      <c r="F349" s="6">
        <v>0</v>
      </c>
      <c r="G349" s="7" t="str">
        <f>VLOOKUP(InputData[[#This Row],[PRODUCT ID]],MasterData[],2,0)</f>
        <v>Plates</v>
      </c>
      <c r="H349" s="7" t="str">
        <f>VLOOKUP(InputData[[#This Row],[PRODUCT ID]],MasterData[],3,0)</f>
        <v>Category04</v>
      </c>
      <c r="I349" s="7" t="str">
        <f>VLOOKUP(InputData[[#This Row],[PRODUCT ID]],MasterData[],4,0)</f>
        <v>Ft</v>
      </c>
      <c r="J349" s="7">
        <f>VLOOKUP(InputData[[#This Row],[PRODUCT ID]],MasterData[],5,0)</f>
        <v>148</v>
      </c>
      <c r="K349" s="8">
        <f>VLOOKUP(InputData[[#This Row],[PRODUCT ID]],MasterData[],6,0)</f>
        <v>201.28</v>
      </c>
      <c r="L349" s="8">
        <f>InputData[[#This Row],[BUYING PRIZE]]*InputData[[#This Row],[QUANTITY]]</f>
        <v>1332</v>
      </c>
      <c r="M349" s="8">
        <f>InputData[[#This Row],[SELLING PRICE]]*InputData[[#This Row],[QUANTITY]]*(1-InputData[[#This Row],[DISCOUNT %]])</f>
        <v>1811.52</v>
      </c>
      <c r="N349" s="7">
        <f>DAY(InputData[[#This Row],[DATE]])</f>
        <v>12</v>
      </c>
      <c r="O349" s="7" t="str">
        <f>TEXT(InputData[[#This Row],[DATE]],"MMM")</f>
        <v>Dec</v>
      </c>
      <c r="P349" s="7">
        <f>YEAR(InputData[[#This Row],[DATE]])</f>
        <v>2022</v>
      </c>
    </row>
    <row r="350" spans="1:16" x14ac:dyDescent="0.25">
      <c r="A350" s="3">
        <v>44205</v>
      </c>
      <c r="B350" s="4" t="s">
        <v>71</v>
      </c>
      <c r="C350" s="5">
        <v>1</v>
      </c>
      <c r="D350" s="5" t="s">
        <v>108</v>
      </c>
      <c r="E350" s="5" t="s">
        <v>107</v>
      </c>
      <c r="F350" s="6">
        <v>0</v>
      </c>
      <c r="G350" s="7" t="str">
        <f>VLOOKUP(InputData[[#This Row],[PRODUCT ID]],MasterData[],2,0)</f>
        <v>Rice flour</v>
      </c>
      <c r="H350" s="7" t="str">
        <f>VLOOKUP(InputData[[#This Row],[PRODUCT ID]],MasterData[],3,0)</f>
        <v>Category04</v>
      </c>
      <c r="I350" s="7" t="str">
        <f>VLOOKUP(InputData[[#This Row],[PRODUCT ID]],MasterData[],4,0)</f>
        <v>Kg</v>
      </c>
      <c r="J350" s="7">
        <f>VLOOKUP(InputData[[#This Row],[PRODUCT ID]],MasterData[],5,0)</f>
        <v>93</v>
      </c>
      <c r="K350" s="8">
        <f>VLOOKUP(InputData[[#This Row],[PRODUCT ID]],MasterData[],6,0)</f>
        <v>104.16</v>
      </c>
      <c r="L350" s="8">
        <f>InputData[[#This Row],[BUYING PRIZE]]*InputData[[#This Row],[QUANTITY]]</f>
        <v>93</v>
      </c>
      <c r="M350" s="8">
        <f>InputData[[#This Row],[SELLING PRICE]]*InputData[[#This Row],[QUANTITY]]*(1-InputData[[#This Row],[DISCOUNT %]])</f>
        <v>104.16</v>
      </c>
      <c r="N350" s="7">
        <f>DAY(InputData[[#This Row],[DATE]])</f>
        <v>9</v>
      </c>
      <c r="O350" s="7" t="str">
        <f>TEXT(InputData[[#This Row],[DATE]],"MMM")</f>
        <v>Jan</v>
      </c>
      <c r="P350" s="7">
        <f>YEAR(InputData[[#This Row],[DATE]])</f>
        <v>2021</v>
      </c>
    </row>
    <row r="351" spans="1:16" x14ac:dyDescent="0.25">
      <c r="A351" s="3">
        <v>44221</v>
      </c>
      <c r="B351" s="4" t="s">
        <v>71</v>
      </c>
      <c r="C351" s="5">
        <v>14</v>
      </c>
      <c r="D351" s="5" t="s">
        <v>108</v>
      </c>
      <c r="E351" s="5" t="s">
        <v>106</v>
      </c>
      <c r="F351" s="6">
        <v>0</v>
      </c>
      <c r="G351" s="7" t="str">
        <f>VLOOKUP(InputData[[#This Row],[PRODUCT ID]],MasterData[],2,0)</f>
        <v>Rice flour</v>
      </c>
      <c r="H351" s="7" t="str">
        <f>VLOOKUP(InputData[[#This Row],[PRODUCT ID]],MasterData[],3,0)</f>
        <v>Category04</v>
      </c>
      <c r="I351" s="7" t="str">
        <f>VLOOKUP(InputData[[#This Row],[PRODUCT ID]],MasterData[],4,0)</f>
        <v>Kg</v>
      </c>
      <c r="J351" s="7">
        <f>VLOOKUP(InputData[[#This Row],[PRODUCT ID]],MasterData[],5,0)</f>
        <v>93</v>
      </c>
      <c r="K351" s="8">
        <f>VLOOKUP(InputData[[#This Row],[PRODUCT ID]],MasterData[],6,0)</f>
        <v>104.16</v>
      </c>
      <c r="L351" s="8">
        <f>InputData[[#This Row],[BUYING PRIZE]]*InputData[[#This Row],[QUANTITY]]</f>
        <v>1302</v>
      </c>
      <c r="M351" s="8">
        <f>InputData[[#This Row],[SELLING PRICE]]*InputData[[#This Row],[QUANTITY]]*(1-InputData[[#This Row],[DISCOUNT %]])</f>
        <v>1458.24</v>
      </c>
      <c r="N351" s="7">
        <f>DAY(InputData[[#This Row],[DATE]])</f>
        <v>25</v>
      </c>
      <c r="O351" s="7" t="str">
        <f>TEXT(InputData[[#This Row],[DATE]],"MMM")</f>
        <v>Jan</v>
      </c>
      <c r="P351" s="7">
        <f>YEAR(InputData[[#This Row],[DATE]])</f>
        <v>2021</v>
      </c>
    </row>
    <row r="352" spans="1:16" x14ac:dyDescent="0.25">
      <c r="A352" s="3">
        <v>44291</v>
      </c>
      <c r="B352" s="4" t="s">
        <v>71</v>
      </c>
      <c r="C352" s="5">
        <v>15</v>
      </c>
      <c r="D352" s="5" t="s">
        <v>106</v>
      </c>
      <c r="E352" s="5" t="s">
        <v>106</v>
      </c>
      <c r="F352" s="6">
        <v>0</v>
      </c>
      <c r="G352" s="7" t="str">
        <f>VLOOKUP(InputData[[#This Row],[PRODUCT ID]],MasterData[],2,0)</f>
        <v>Rice flour</v>
      </c>
      <c r="H352" s="7" t="str">
        <f>VLOOKUP(InputData[[#This Row],[PRODUCT ID]],MasterData[],3,0)</f>
        <v>Category04</v>
      </c>
      <c r="I352" s="7" t="str">
        <f>VLOOKUP(InputData[[#This Row],[PRODUCT ID]],MasterData[],4,0)</f>
        <v>Kg</v>
      </c>
      <c r="J352" s="7">
        <f>VLOOKUP(InputData[[#This Row],[PRODUCT ID]],MasterData[],5,0)</f>
        <v>93</v>
      </c>
      <c r="K352" s="8">
        <f>VLOOKUP(InputData[[#This Row],[PRODUCT ID]],MasterData[],6,0)</f>
        <v>104.16</v>
      </c>
      <c r="L352" s="8">
        <f>InputData[[#This Row],[BUYING PRIZE]]*InputData[[#This Row],[QUANTITY]]</f>
        <v>1395</v>
      </c>
      <c r="M352" s="8">
        <f>InputData[[#This Row],[SELLING PRICE]]*InputData[[#This Row],[QUANTITY]]*(1-InputData[[#This Row],[DISCOUNT %]])</f>
        <v>1562.3999999999999</v>
      </c>
      <c r="N352" s="7">
        <f>DAY(InputData[[#This Row],[DATE]])</f>
        <v>5</v>
      </c>
      <c r="O352" s="7" t="str">
        <f>TEXT(InputData[[#This Row],[DATE]],"MMM")</f>
        <v>Apr</v>
      </c>
      <c r="P352" s="7">
        <f>YEAR(InputData[[#This Row],[DATE]])</f>
        <v>2021</v>
      </c>
    </row>
    <row r="353" spans="1:16" x14ac:dyDescent="0.25">
      <c r="A353" s="3">
        <v>44428</v>
      </c>
      <c r="B353" s="4" t="s">
        <v>71</v>
      </c>
      <c r="C353" s="5">
        <v>9</v>
      </c>
      <c r="D353" s="5" t="s">
        <v>108</v>
      </c>
      <c r="E353" s="5" t="s">
        <v>106</v>
      </c>
      <c r="F353" s="6">
        <v>0</v>
      </c>
      <c r="G353" s="7" t="str">
        <f>VLOOKUP(InputData[[#This Row],[PRODUCT ID]],MasterData[],2,0)</f>
        <v>Rice flour</v>
      </c>
      <c r="H353" s="7" t="str">
        <f>VLOOKUP(InputData[[#This Row],[PRODUCT ID]],MasterData[],3,0)</f>
        <v>Category04</v>
      </c>
      <c r="I353" s="7" t="str">
        <f>VLOOKUP(InputData[[#This Row],[PRODUCT ID]],MasterData[],4,0)</f>
        <v>Kg</v>
      </c>
      <c r="J353" s="7">
        <f>VLOOKUP(InputData[[#This Row],[PRODUCT ID]],MasterData[],5,0)</f>
        <v>93</v>
      </c>
      <c r="K353" s="8">
        <f>VLOOKUP(InputData[[#This Row],[PRODUCT ID]],MasterData[],6,0)</f>
        <v>104.16</v>
      </c>
      <c r="L353" s="8">
        <f>InputData[[#This Row],[BUYING PRIZE]]*InputData[[#This Row],[QUANTITY]]</f>
        <v>837</v>
      </c>
      <c r="M353" s="8">
        <f>InputData[[#This Row],[SELLING PRICE]]*InputData[[#This Row],[QUANTITY]]*(1-InputData[[#This Row],[DISCOUNT %]])</f>
        <v>937.43999999999994</v>
      </c>
      <c r="N353" s="7">
        <f>DAY(InputData[[#This Row],[DATE]])</f>
        <v>20</v>
      </c>
      <c r="O353" s="7" t="str">
        <f>TEXT(InputData[[#This Row],[DATE]],"MMM")</f>
        <v>Aug</v>
      </c>
      <c r="P353" s="7">
        <f>YEAR(InputData[[#This Row],[DATE]])</f>
        <v>2021</v>
      </c>
    </row>
    <row r="354" spans="1:16" x14ac:dyDescent="0.25">
      <c r="A354" s="3">
        <v>44697</v>
      </c>
      <c r="B354" s="4" t="s">
        <v>71</v>
      </c>
      <c r="C354" s="5">
        <v>13</v>
      </c>
      <c r="D354" s="5" t="s">
        <v>106</v>
      </c>
      <c r="E354" s="5" t="s">
        <v>106</v>
      </c>
      <c r="F354" s="6">
        <v>0</v>
      </c>
      <c r="G354" s="7" t="str">
        <f>VLOOKUP(InputData[[#This Row],[PRODUCT ID]],MasterData[],2,0)</f>
        <v>Rice flour</v>
      </c>
      <c r="H354" s="7" t="str">
        <f>VLOOKUP(InputData[[#This Row],[PRODUCT ID]],MasterData[],3,0)</f>
        <v>Category04</v>
      </c>
      <c r="I354" s="7" t="str">
        <f>VLOOKUP(InputData[[#This Row],[PRODUCT ID]],MasterData[],4,0)</f>
        <v>Kg</v>
      </c>
      <c r="J354" s="7">
        <f>VLOOKUP(InputData[[#This Row],[PRODUCT ID]],MasterData[],5,0)</f>
        <v>93</v>
      </c>
      <c r="K354" s="8">
        <f>VLOOKUP(InputData[[#This Row],[PRODUCT ID]],MasterData[],6,0)</f>
        <v>104.16</v>
      </c>
      <c r="L354" s="8">
        <f>InputData[[#This Row],[BUYING PRIZE]]*InputData[[#This Row],[QUANTITY]]</f>
        <v>1209</v>
      </c>
      <c r="M354" s="8">
        <f>InputData[[#This Row],[SELLING PRICE]]*InputData[[#This Row],[QUANTITY]]*(1-InputData[[#This Row],[DISCOUNT %]])</f>
        <v>1354.08</v>
      </c>
      <c r="N354" s="7">
        <f>DAY(InputData[[#This Row],[DATE]])</f>
        <v>16</v>
      </c>
      <c r="O354" s="7" t="str">
        <f>TEXT(InputData[[#This Row],[DATE]],"MMM")</f>
        <v>May</v>
      </c>
      <c r="P354" s="7">
        <f>YEAR(InputData[[#This Row],[DATE]])</f>
        <v>2022</v>
      </c>
    </row>
    <row r="355" spans="1:16" x14ac:dyDescent="0.25">
      <c r="A355" s="3">
        <v>44893</v>
      </c>
      <c r="B355" s="4" t="s">
        <v>71</v>
      </c>
      <c r="C355" s="5">
        <v>8</v>
      </c>
      <c r="D355" s="5" t="s">
        <v>108</v>
      </c>
      <c r="E355" s="5" t="s">
        <v>107</v>
      </c>
      <c r="F355" s="6">
        <v>0</v>
      </c>
      <c r="G355" s="7" t="str">
        <f>VLOOKUP(InputData[[#This Row],[PRODUCT ID]],MasterData[],2,0)</f>
        <v>Rice flour</v>
      </c>
      <c r="H355" s="7" t="str">
        <f>VLOOKUP(InputData[[#This Row],[PRODUCT ID]],MasterData[],3,0)</f>
        <v>Category04</v>
      </c>
      <c r="I355" s="7" t="str">
        <f>VLOOKUP(InputData[[#This Row],[PRODUCT ID]],MasterData[],4,0)</f>
        <v>Kg</v>
      </c>
      <c r="J355" s="7">
        <f>VLOOKUP(InputData[[#This Row],[PRODUCT ID]],MasterData[],5,0)</f>
        <v>93</v>
      </c>
      <c r="K355" s="8">
        <f>VLOOKUP(InputData[[#This Row],[PRODUCT ID]],MasterData[],6,0)</f>
        <v>104.16</v>
      </c>
      <c r="L355" s="8">
        <f>InputData[[#This Row],[BUYING PRIZE]]*InputData[[#This Row],[QUANTITY]]</f>
        <v>744</v>
      </c>
      <c r="M355" s="8">
        <f>InputData[[#This Row],[SELLING PRICE]]*InputData[[#This Row],[QUANTITY]]*(1-InputData[[#This Row],[DISCOUNT %]])</f>
        <v>833.28</v>
      </c>
      <c r="N355" s="7">
        <f>DAY(InputData[[#This Row],[DATE]])</f>
        <v>28</v>
      </c>
      <c r="O355" s="7" t="str">
        <f>TEXT(InputData[[#This Row],[DATE]],"MMM")</f>
        <v>Nov</v>
      </c>
      <c r="P355" s="7">
        <f>YEAR(InputData[[#This Row],[DATE]])</f>
        <v>2022</v>
      </c>
    </row>
    <row r="356" spans="1:16" x14ac:dyDescent="0.25">
      <c r="A356" s="3">
        <v>44223</v>
      </c>
      <c r="B356" s="4" t="s">
        <v>73</v>
      </c>
      <c r="C356" s="5">
        <v>3</v>
      </c>
      <c r="D356" s="5" t="s">
        <v>105</v>
      </c>
      <c r="E356" s="5" t="s">
        <v>106</v>
      </c>
      <c r="F356" s="6">
        <v>0</v>
      </c>
      <c r="G356" s="7" t="str">
        <f>VLOOKUP(InputData[[#This Row],[PRODUCT ID]],MasterData[],2,0)</f>
        <v>sugar</v>
      </c>
      <c r="H356" s="7" t="str">
        <f>VLOOKUP(InputData[[#This Row],[PRODUCT ID]],MasterData[],3,0)</f>
        <v>Category04</v>
      </c>
      <c r="I356" s="7" t="str">
        <f>VLOOKUP(InputData[[#This Row],[PRODUCT ID]],MasterData[],4,0)</f>
        <v>Kg</v>
      </c>
      <c r="J356" s="7">
        <f>VLOOKUP(InputData[[#This Row],[PRODUCT ID]],MasterData[],5,0)</f>
        <v>89</v>
      </c>
      <c r="K356" s="8">
        <f>VLOOKUP(InputData[[#This Row],[PRODUCT ID]],MasterData[],6,0)</f>
        <v>117.48</v>
      </c>
      <c r="L356" s="8">
        <f>InputData[[#This Row],[BUYING PRIZE]]*InputData[[#This Row],[QUANTITY]]</f>
        <v>267</v>
      </c>
      <c r="M356" s="8">
        <f>InputData[[#This Row],[SELLING PRICE]]*InputData[[#This Row],[QUANTITY]]*(1-InputData[[#This Row],[DISCOUNT %]])</f>
        <v>352.44</v>
      </c>
      <c r="N356" s="7">
        <f>DAY(InputData[[#This Row],[DATE]])</f>
        <v>27</v>
      </c>
      <c r="O356" s="7" t="str">
        <f>TEXT(InputData[[#This Row],[DATE]],"MMM")</f>
        <v>Jan</v>
      </c>
      <c r="P356" s="7">
        <f>YEAR(InputData[[#This Row],[DATE]])</f>
        <v>2021</v>
      </c>
    </row>
    <row r="357" spans="1:16" x14ac:dyDescent="0.25">
      <c r="A357" s="3">
        <v>44252</v>
      </c>
      <c r="B357" s="4" t="s">
        <v>73</v>
      </c>
      <c r="C357" s="5">
        <v>11</v>
      </c>
      <c r="D357" s="5" t="s">
        <v>106</v>
      </c>
      <c r="E357" s="5" t="s">
        <v>107</v>
      </c>
      <c r="F357" s="6">
        <v>0</v>
      </c>
      <c r="G357" s="7" t="str">
        <f>VLOOKUP(InputData[[#This Row],[PRODUCT ID]],MasterData[],2,0)</f>
        <v>sugar</v>
      </c>
      <c r="H357" s="7" t="str">
        <f>VLOOKUP(InputData[[#This Row],[PRODUCT ID]],MasterData[],3,0)</f>
        <v>Category04</v>
      </c>
      <c r="I357" s="7" t="str">
        <f>VLOOKUP(InputData[[#This Row],[PRODUCT ID]],MasterData[],4,0)</f>
        <v>Kg</v>
      </c>
      <c r="J357" s="7">
        <f>VLOOKUP(InputData[[#This Row],[PRODUCT ID]],MasterData[],5,0)</f>
        <v>89</v>
      </c>
      <c r="K357" s="8">
        <f>VLOOKUP(InputData[[#This Row],[PRODUCT ID]],MasterData[],6,0)</f>
        <v>117.48</v>
      </c>
      <c r="L357" s="8">
        <f>InputData[[#This Row],[BUYING PRIZE]]*InputData[[#This Row],[QUANTITY]]</f>
        <v>979</v>
      </c>
      <c r="M357" s="8">
        <f>InputData[[#This Row],[SELLING PRICE]]*InputData[[#This Row],[QUANTITY]]*(1-InputData[[#This Row],[DISCOUNT %]])</f>
        <v>1292.28</v>
      </c>
      <c r="N357" s="7">
        <f>DAY(InputData[[#This Row],[DATE]])</f>
        <v>25</v>
      </c>
      <c r="O357" s="7" t="str">
        <f>TEXT(InputData[[#This Row],[DATE]],"MMM")</f>
        <v>Feb</v>
      </c>
      <c r="P357" s="7">
        <f>YEAR(InputData[[#This Row],[DATE]])</f>
        <v>2021</v>
      </c>
    </row>
    <row r="358" spans="1:16" x14ac:dyDescent="0.25">
      <c r="A358" s="3">
        <v>44358</v>
      </c>
      <c r="B358" s="4" t="s">
        <v>73</v>
      </c>
      <c r="C358" s="5">
        <v>12</v>
      </c>
      <c r="D358" s="5" t="s">
        <v>105</v>
      </c>
      <c r="E358" s="5" t="s">
        <v>107</v>
      </c>
      <c r="F358" s="6">
        <v>0</v>
      </c>
      <c r="G358" s="7" t="str">
        <f>VLOOKUP(InputData[[#This Row],[PRODUCT ID]],MasterData[],2,0)</f>
        <v>sugar</v>
      </c>
      <c r="H358" s="7" t="str">
        <f>VLOOKUP(InputData[[#This Row],[PRODUCT ID]],MasterData[],3,0)</f>
        <v>Category04</v>
      </c>
      <c r="I358" s="7" t="str">
        <f>VLOOKUP(InputData[[#This Row],[PRODUCT ID]],MasterData[],4,0)</f>
        <v>Kg</v>
      </c>
      <c r="J358" s="7">
        <f>VLOOKUP(InputData[[#This Row],[PRODUCT ID]],MasterData[],5,0)</f>
        <v>89</v>
      </c>
      <c r="K358" s="8">
        <f>VLOOKUP(InputData[[#This Row],[PRODUCT ID]],MasterData[],6,0)</f>
        <v>117.48</v>
      </c>
      <c r="L358" s="8">
        <f>InputData[[#This Row],[BUYING PRIZE]]*InputData[[#This Row],[QUANTITY]]</f>
        <v>1068</v>
      </c>
      <c r="M358" s="8">
        <f>InputData[[#This Row],[SELLING PRICE]]*InputData[[#This Row],[QUANTITY]]*(1-InputData[[#This Row],[DISCOUNT %]])</f>
        <v>1409.76</v>
      </c>
      <c r="N358" s="7">
        <f>DAY(InputData[[#This Row],[DATE]])</f>
        <v>11</v>
      </c>
      <c r="O358" s="7" t="str">
        <f>TEXT(InputData[[#This Row],[DATE]],"MMM")</f>
        <v>Jun</v>
      </c>
      <c r="P358" s="7">
        <f>YEAR(InputData[[#This Row],[DATE]])</f>
        <v>2021</v>
      </c>
    </row>
    <row r="359" spans="1:16" x14ac:dyDescent="0.25">
      <c r="A359" s="3">
        <v>44444</v>
      </c>
      <c r="B359" s="4" t="s">
        <v>73</v>
      </c>
      <c r="C359" s="5">
        <v>1</v>
      </c>
      <c r="D359" s="5" t="s">
        <v>108</v>
      </c>
      <c r="E359" s="5" t="s">
        <v>107</v>
      </c>
      <c r="F359" s="6">
        <v>0</v>
      </c>
      <c r="G359" s="7" t="str">
        <f>VLOOKUP(InputData[[#This Row],[PRODUCT ID]],MasterData[],2,0)</f>
        <v>sugar</v>
      </c>
      <c r="H359" s="7" t="str">
        <f>VLOOKUP(InputData[[#This Row],[PRODUCT ID]],MasterData[],3,0)</f>
        <v>Category04</v>
      </c>
      <c r="I359" s="7" t="str">
        <f>VLOOKUP(InputData[[#This Row],[PRODUCT ID]],MasterData[],4,0)</f>
        <v>Kg</v>
      </c>
      <c r="J359" s="7">
        <f>VLOOKUP(InputData[[#This Row],[PRODUCT ID]],MasterData[],5,0)</f>
        <v>89</v>
      </c>
      <c r="K359" s="8">
        <f>VLOOKUP(InputData[[#This Row],[PRODUCT ID]],MasterData[],6,0)</f>
        <v>117.48</v>
      </c>
      <c r="L359" s="8">
        <f>InputData[[#This Row],[BUYING PRIZE]]*InputData[[#This Row],[QUANTITY]]</f>
        <v>89</v>
      </c>
      <c r="M359" s="8">
        <f>InputData[[#This Row],[SELLING PRICE]]*InputData[[#This Row],[QUANTITY]]*(1-InputData[[#This Row],[DISCOUNT %]])</f>
        <v>117.48</v>
      </c>
      <c r="N359" s="7">
        <f>DAY(InputData[[#This Row],[DATE]])</f>
        <v>5</v>
      </c>
      <c r="O359" s="7" t="str">
        <f>TEXT(InputData[[#This Row],[DATE]],"MMM")</f>
        <v>Sep</v>
      </c>
      <c r="P359" s="7">
        <f>YEAR(InputData[[#This Row],[DATE]])</f>
        <v>2021</v>
      </c>
    </row>
    <row r="360" spans="1:16" x14ac:dyDescent="0.25">
      <c r="A360" s="3">
        <v>44478</v>
      </c>
      <c r="B360" s="4" t="s">
        <v>73</v>
      </c>
      <c r="C360" s="5">
        <v>11</v>
      </c>
      <c r="D360" s="5" t="s">
        <v>106</v>
      </c>
      <c r="E360" s="5" t="s">
        <v>107</v>
      </c>
      <c r="F360" s="6">
        <v>0</v>
      </c>
      <c r="G360" s="7" t="str">
        <f>VLOOKUP(InputData[[#This Row],[PRODUCT ID]],MasterData[],2,0)</f>
        <v>sugar</v>
      </c>
      <c r="H360" s="7" t="str">
        <f>VLOOKUP(InputData[[#This Row],[PRODUCT ID]],MasterData[],3,0)</f>
        <v>Category04</v>
      </c>
      <c r="I360" s="7" t="str">
        <f>VLOOKUP(InputData[[#This Row],[PRODUCT ID]],MasterData[],4,0)</f>
        <v>Kg</v>
      </c>
      <c r="J360" s="7">
        <f>VLOOKUP(InputData[[#This Row],[PRODUCT ID]],MasterData[],5,0)</f>
        <v>89</v>
      </c>
      <c r="K360" s="8">
        <f>VLOOKUP(InputData[[#This Row],[PRODUCT ID]],MasterData[],6,0)</f>
        <v>117.48</v>
      </c>
      <c r="L360" s="8">
        <f>InputData[[#This Row],[BUYING PRIZE]]*InputData[[#This Row],[QUANTITY]]</f>
        <v>979</v>
      </c>
      <c r="M360" s="8">
        <f>InputData[[#This Row],[SELLING PRICE]]*InputData[[#This Row],[QUANTITY]]*(1-InputData[[#This Row],[DISCOUNT %]])</f>
        <v>1292.28</v>
      </c>
      <c r="N360" s="7">
        <f>DAY(InputData[[#This Row],[DATE]])</f>
        <v>9</v>
      </c>
      <c r="O360" s="7" t="str">
        <f>TEXT(InputData[[#This Row],[DATE]],"MMM")</f>
        <v>Oct</v>
      </c>
      <c r="P360" s="7">
        <f>YEAR(InputData[[#This Row],[DATE]])</f>
        <v>2021</v>
      </c>
    </row>
    <row r="361" spans="1:16" x14ac:dyDescent="0.25">
      <c r="A361" s="3">
        <v>44570</v>
      </c>
      <c r="B361" s="4" t="s">
        <v>73</v>
      </c>
      <c r="C361" s="5">
        <v>12</v>
      </c>
      <c r="D361" s="5" t="s">
        <v>108</v>
      </c>
      <c r="E361" s="5" t="s">
        <v>106</v>
      </c>
      <c r="F361" s="6">
        <v>0</v>
      </c>
      <c r="G361" s="7" t="str">
        <f>VLOOKUP(InputData[[#This Row],[PRODUCT ID]],MasterData[],2,0)</f>
        <v>sugar</v>
      </c>
      <c r="H361" s="7" t="str">
        <f>VLOOKUP(InputData[[#This Row],[PRODUCT ID]],MasterData[],3,0)</f>
        <v>Category04</v>
      </c>
      <c r="I361" s="7" t="str">
        <f>VLOOKUP(InputData[[#This Row],[PRODUCT ID]],MasterData[],4,0)</f>
        <v>Kg</v>
      </c>
      <c r="J361" s="7">
        <f>VLOOKUP(InputData[[#This Row],[PRODUCT ID]],MasterData[],5,0)</f>
        <v>89</v>
      </c>
      <c r="K361" s="8">
        <f>VLOOKUP(InputData[[#This Row],[PRODUCT ID]],MasterData[],6,0)</f>
        <v>117.48</v>
      </c>
      <c r="L361" s="8">
        <f>InputData[[#This Row],[BUYING PRIZE]]*InputData[[#This Row],[QUANTITY]]</f>
        <v>1068</v>
      </c>
      <c r="M361" s="8">
        <f>InputData[[#This Row],[SELLING PRICE]]*InputData[[#This Row],[QUANTITY]]*(1-InputData[[#This Row],[DISCOUNT %]])</f>
        <v>1409.76</v>
      </c>
      <c r="N361" s="7">
        <f>DAY(InputData[[#This Row],[DATE]])</f>
        <v>9</v>
      </c>
      <c r="O361" s="7" t="str">
        <f>TEXT(InputData[[#This Row],[DATE]],"MMM")</f>
        <v>Jan</v>
      </c>
      <c r="P361" s="7">
        <f>YEAR(InputData[[#This Row],[DATE]])</f>
        <v>2022</v>
      </c>
    </row>
    <row r="362" spans="1:16" x14ac:dyDescent="0.25">
      <c r="A362" s="3">
        <v>44572</v>
      </c>
      <c r="B362" s="4" t="s">
        <v>73</v>
      </c>
      <c r="C362" s="5">
        <v>2</v>
      </c>
      <c r="D362" s="5" t="s">
        <v>108</v>
      </c>
      <c r="E362" s="5" t="s">
        <v>106</v>
      </c>
      <c r="F362" s="6">
        <v>0</v>
      </c>
      <c r="G362" s="7" t="str">
        <f>VLOOKUP(InputData[[#This Row],[PRODUCT ID]],MasterData[],2,0)</f>
        <v>sugar</v>
      </c>
      <c r="H362" s="7" t="str">
        <f>VLOOKUP(InputData[[#This Row],[PRODUCT ID]],MasterData[],3,0)</f>
        <v>Category04</v>
      </c>
      <c r="I362" s="7" t="str">
        <f>VLOOKUP(InputData[[#This Row],[PRODUCT ID]],MasterData[],4,0)</f>
        <v>Kg</v>
      </c>
      <c r="J362" s="7">
        <f>VLOOKUP(InputData[[#This Row],[PRODUCT ID]],MasterData[],5,0)</f>
        <v>89</v>
      </c>
      <c r="K362" s="8">
        <f>VLOOKUP(InputData[[#This Row],[PRODUCT ID]],MasterData[],6,0)</f>
        <v>117.48</v>
      </c>
      <c r="L362" s="8">
        <f>InputData[[#This Row],[BUYING PRIZE]]*InputData[[#This Row],[QUANTITY]]</f>
        <v>178</v>
      </c>
      <c r="M362" s="8">
        <f>InputData[[#This Row],[SELLING PRICE]]*InputData[[#This Row],[QUANTITY]]*(1-InputData[[#This Row],[DISCOUNT %]])</f>
        <v>234.96</v>
      </c>
      <c r="N362" s="7">
        <f>DAY(InputData[[#This Row],[DATE]])</f>
        <v>11</v>
      </c>
      <c r="O362" s="7" t="str">
        <f>TEXT(InputData[[#This Row],[DATE]],"MMM")</f>
        <v>Jan</v>
      </c>
      <c r="P362" s="7">
        <f>YEAR(InputData[[#This Row],[DATE]])</f>
        <v>2022</v>
      </c>
    </row>
    <row r="363" spans="1:16" x14ac:dyDescent="0.25">
      <c r="A363" s="3">
        <v>44601</v>
      </c>
      <c r="B363" s="4" t="s">
        <v>73</v>
      </c>
      <c r="C363" s="5">
        <v>14</v>
      </c>
      <c r="D363" s="5" t="s">
        <v>106</v>
      </c>
      <c r="E363" s="5" t="s">
        <v>106</v>
      </c>
      <c r="F363" s="6">
        <v>0</v>
      </c>
      <c r="G363" s="7" t="str">
        <f>VLOOKUP(InputData[[#This Row],[PRODUCT ID]],MasterData[],2,0)</f>
        <v>sugar</v>
      </c>
      <c r="H363" s="7" t="str">
        <f>VLOOKUP(InputData[[#This Row],[PRODUCT ID]],MasterData[],3,0)</f>
        <v>Category04</v>
      </c>
      <c r="I363" s="7" t="str">
        <f>VLOOKUP(InputData[[#This Row],[PRODUCT ID]],MasterData[],4,0)</f>
        <v>Kg</v>
      </c>
      <c r="J363" s="7">
        <f>VLOOKUP(InputData[[#This Row],[PRODUCT ID]],MasterData[],5,0)</f>
        <v>89</v>
      </c>
      <c r="K363" s="8">
        <f>VLOOKUP(InputData[[#This Row],[PRODUCT ID]],MasterData[],6,0)</f>
        <v>117.48</v>
      </c>
      <c r="L363" s="8">
        <f>InputData[[#This Row],[BUYING PRIZE]]*InputData[[#This Row],[QUANTITY]]</f>
        <v>1246</v>
      </c>
      <c r="M363" s="8">
        <f>InputData[[#This Row],[SELLING PRICE]]*InputData[[#This Row],[QUANTITY]]*(1-InputData[[#This Row],[DISCOUNT %]])</f>
        <v>1644.72</v>
      </c>
      <c r="N363" s="7">
        <f>DAY(InputData[[#This Row],[DATE]])</f>
        <v>9</v>
      </c>
      <c r="O363" s="7" t="str">
        <f>TEXT(InputData[[#This Row],[DATE]],"MMM")</f>
        <v>Feb</v>
      </c>
      <c r="P363" s="7">
        <f>YEAR(InputData[[#This Row],[DATE]])</f>
        <v>2022</v>
      </c>
    </row>
    <row r="364" spans="1:16" x14ac:dyDescent="0.25">
      <c r="A364" s="3">
        <v>44608</v>
      </c>
      <c r="B364" s="4" t="s">
        <v>73</v>
      </c>
      <c r="C364" s="5">
        <v>1</v>
      </c>
      <c r="D364" s="5" t="s">
        <v>106</v>
      </c>
      <c r="E364" s="5" t="s">
        <v>107</v>
      </c>
      <c r="F364" s="6">
        <v>0</v>
      </c>
      <c r="G364" s="7" t="str">
        <f>VLOOKUP(InputData[[#This Row],[PRODUCT ID]],MasterData[],2,0)</f>
        <v>sugar</v>
      </c>
      <c r="H364" s="7" t="str">
        <f>VLOOKUP(InputData[[#This Row],[PRODUCT ID]],MasterData[],3,0)</f>
        <v>Category04</v>
      </c>
      <c r="I364" s="7" t="str">
        <f>VLOOKUP(InputData[[#This Row],[PRODUCT ID]],MasterData[],4,0)</f>
        <v>Kg</v>
      </c>
      <c r="J364" s="7">
        <f>VLOOKUP(InputData[[#This Row],[PRODUCT ID]],MasterData[],5,0)</f>
        <v>89</v>
      </c>
      <c r="K364" s="8">
        <f>VLOOKUP(InputData[[#This Row],[PRODUCT ID]],MasterData[],6,0)</f>
        <v>117.48</v>
      </c>
      <c r="L364" s="8">
        <f>InputData[[#This Row],[BUYING PRIZE]]*InputData[[#This Row],[QUANTITY]]</f>
        <v>89</v>
      </c>
      <c r="M364" s="8">
        <f>InputData[[#This Row],[SELLING PRICE]]*InputData[[#This Row],[QUANTITY]]*(1-InputData[[#This Row],[DISCOUNT %]])</f>
        <v>117.48</v>
      </c>
      <c r="N364" s="7">
        <f>DAY(InputData[[#This Row],[DATE]])</f>
        <v>16</v>
      </c>
      <c r="O364" s="7" t="str">
        <f>TEXT(InputData[[#This Row],[DATE]],"MMM")</f>
        <v>Feb</v>
      </c>
      <c r="P364" s="7">
        <f>YEAR(InputData[[#This Row],[DATE]])</f>
        <v>2022</v>
      </c>
    </row>
    <row r="365" spans="1:16" x14ac:dyDescent="0.25">
      <c r="A365" s="3">
        <v>44643</v>
      </c>
      <c r="B365" s="4" t="s">
        <v>73</v>
      </c>
      <c r="C365" s="5">
        <v>9</v>
      </c>
      <c r="D365" s="5" t="s">
        <v>108</v>
      </c>
      <c r="E365" s="5" t="s">
        <v>107</v>
      </c>
      <c r="F365" s="6">
        <v>0</v>
      </c>
      <c r="G365" s="7" t="str">
        <f>VLOOKUP(InputData[[#This Row],[PRODUCT ID]],MasterData[],2,0)</f>
        <v>sugar</v>
      </c>
      <c r="H365" s="7" t="str">
        <f>VLOOKUP(InputData[[#This Row],[PRODUCT ID]],MasterData[],3,0)</f>
        <v>Category04</v>
      </c>
      <c r="I365" s="7" t="str">
        <f>VLOOKUP(InputData[[#This Row],[PRODUCT ID]],MasterData[],4,0)</f>
        <v>Kg</v>
      </c>
      <c r="J365" s="7">
        <f>VLOOKUP(InputData[[#This Row],[PRODUCT ID]],MasterData[],5,0)</f>
        <v>89</v>
      </c>
      <c r="K365" s="8">
        <f>VLOOKUP(InputData[[#This Row],[PRODUCT ID]],MasterData[],6,0)</f>
        <v>117.48</v>
      </c>
      <c r="L365" s="8">
        <f>InputData[[#This Row],[BUYING PRIZE]]*InputData[[#This Row],[QUANTITY]]</f>
        <v>801</v>
      </c>
      <c r="M365" s="8">
        <f>InputData[[#This Row],[SELLING PRICE]]*InputData[[#This Row],[QUANTITY]]*(1-InputData[[#This Row],[DISCOUNT %]])</f>
        <v>1057.32</v>
      </c>
      <c r="N365" s="7">
        <f>DAY(InputData[[#This Row],[DATE]])</f>
        <v>23</v>
      </c>
      <c r="O365" s="7" t="str">
        <f>TEXT(InputData[[#This Row],[DATE]],"MMM")</f>
        <v>Mar</v>
      </c>
      <c r="P365" s="7">
        <f>YEAR(InputData[[#This Row],[DATE]])</f>
        <v>2022</v>
      </c>
    </row>
    <row r="366" spans="1:16" x14ac:dyDescent="0.25">
      <c r="A366" s="3">
        <v>44649</v>
      </c>
      <c r="B366" s="4" t="s">
        <v>73</v>
      </c>
      <c r="C366" s="5">
        <v>12</v>
      </c>
      <c r="D366" s="5" t="s">
        <v>106</v>
      </c>
      <c r="E366" s="5" t="s">
        <v>106</v>
      </c>
      <c r="F366" s="6">
        <v>0</v>
      </c>
      <c r="G366" s="7" t="str">
        <f>VLOOKUP(InputData[[#This Row],[PRODUCT ID]],MasterData[],2,0)</f>
        <v>sugar</v>
      </c>
      <c r="H366" s="7" t="str">
        <f>VLOOKUP(InputData[[#This Row],[PRODUCT ID]],MasterData[],3,0)</f>
        <v>Category04</v>
      </c>
      <c r="I366" s="7" t="str">
        <f>VLOOKUP(InputData[[#This Row],[PRODUCT ID]],MasterData[],4,0)</f>
        <v>Kg</v>
      </c>
      <c r="J366" s="7">
        <f>VLOOKUP(InputData[[#This Row],[PRODUCT ID]],MasterData[],5,0)</f>
        <v>89</v>
      </c>
      <c r="K366" s="8">
        <f>VLOOKUP(InputData[[#This Row],[PRODUCT ID]],MasterData[],6,0)</f>
        <v>117.48</v>
      </c>
      <c r="L366" s="8">
        <f>InputData[[#This Row],[BUYING PRIZE]]*InputData[[#This Row],[QUANTITY]]</f>
        <v>1068</v>
      </c>
      <c r="M366" s="8">
        <f>InputData[[#This Row],[SELLING PRICE]]*InputData[[#This Row],[QUANTITY]]*(1-InputData[[#This Row],[DISCOUNT %]])</f>
        <v>1409.76</v>
      </c>
      <c r="N366" s="7">
        <f>DAY(InputData[[#This Row],[DATE]])</f>
        <v>29</v>
      </c>
      <c r="O366" s="7" t="str">
        <f>TEXT(InputData[[#This Row],[DATE]],"MMM")</f>
        <v>Mar</v>
      </c>
      <c r="P366" s="7">
        <f>YEAR(InputData[[#This Row],[DATE]])</f>
        <v>2022</v>
      </c>
    </row>
    <row r="367" spans="1:16" x14ac:dyDescent="0.25">
      <c r="A367" s="3">
        <v>44752</v>
      </c>
      <c r="B367" s="4" t="s">
        <v>73</v>
      </c>
      <c r="C367" s="5">
        <v>12</v>
      </c>
      <c r="D367" s="5" t="s">
        <v>106</v>
      </c>
      <c r="E367" s="5" t="s">
        <v>107</v>
      </c>
      <c r="F367" s="6">
        <v>0</v>
      </c>
      <c r="G367" s="7" t="str">
        <f>VLOOKUP(InputData[[#This Row],[PRODUCT ID]],MasterData[],2,0)</f>
        <v>sugar</v>
      </c>
      <c r="H367" s="7" t="str">
        <f>VLOOKUP(InputData[[#This Row],[PRODUCT ID]],MasterData[],3,0)</f>
        <v>Category04</v>
      </c>
      <c r="I367" s="7" t="str">
        <f>VLOOKUP(InputData[[#This Row],[PRODUCT ID]],MasterData[],4,0)</f>
        <v>Kg</v>
      </c>
      <c r="J367" s="7">
        <f>VLOOKUP(InputData[[#This Row],[PRODUCT ID]],MasterData[],5,0)</f>
        <v>89</v>
      </c>
      <c r="K367" s="8">
        <f>VLOOKUP(InputData[[#This Row],[PRODUCT ID]],MasterData[],6,0)</f>
        <v>117.48</v>
      </c>
      <c r="L367" s="8">
        <f>InputData[[#This Row],[BUYING PRIZE]]*InputData[[#This Row],[QUANTITY]]</f>
        <v>1068</v>
      </c>
      <c r="M367" s="8">
        <f>InputData[[#This Row],[SELLING PRICE]]*InputData[[#This Row],[QUANTITY]]*(1-InputData[[#This Row],[DISCOUNT %]])</f>
        <v>1409.76</v>
      </c>
      <c r="N367" s="7">
        <f>DAY(InputData[[#This Row],[DATE]])</f>
        <v>10</v>
      </c>
      <c r="O367" s="7" t="str">
        <f>TEXT(InputData[[#This Row],[DATE]],"MMM")</f>
        <v>Jul</v>
      </c>
      <c r="P367" s="7">
        <f>YEAR(InputData[[#This Row],[DATE]])</f>
        <v>2022</v>
      </c>
    </row>
    <row r="368" spans="1:16" x14ac:dyDescent="0.25">
      <c r="A368" s="3">
        <v>44781</v>
      </c>
      <c r="B368" s="4" t="s">
        <v>73</v>
      </c>
      <c r="C368" s="5">
        <v>12</v>
      </c>
      <c r="D368" s="5" t="s">
        <v>108</v>
      </c>
      <c r="E368" s="5" t="s">
        <v>107</v>
      </c>
      <c r="F368" s="6">
        <v>0</v>
      </c>
      <c r="G368" s="7" t="str">
        <f>VLOOKUP(InputData[[#This Row],[PRODUCT ID]],MasterData[],2,0)</f>
        <v>sugar</v>
      </c>
      <c r="H368" s="7" t="str">
        <f>VLOOKUP(InputData[[#This Row],[PRODUCT ID]],MasterData[],3,0)</f>
        <v>Category04</v>
      </c>
      <c r="I368" s="7" t="str">
        <f>VLOOKUP(InputData[[#This Row],[PRODUCT ID]],MasterData[],4,0)</f>
        <v>Kg</v>
      </c>
      <c r="J368" s="7">
        <f>VLOOKUP(InputData[[#This Row],[PRODUCT ID]],MasterData[],5,0)</f>
        <v>89</v>
      </c>
      <c r="K368" s="8">
        <f>VLOOKUP(InputData[[#This Row],[PRODUCT ID]],MasterData[],6,0)</f>
        <v>117.48</v>
      </c>
      <c r="L368" s="8">
        <f>InputData[[#This Row],[BUYING PRIZE]]*InputData[[#This Row],[QUANTITY]]</f>
        <v>1068</v>
      </c>
      <c r="M368" s="8">
        <f>InputData[[#This Row],[SELLING PRICE]]*InputData[[#This Row],[QUANTITY]]*(1-InputData[[#This Row],[DISCOUNT %]])</f>
        <v>1409.76</v>
      </c>
      <c r="N368" s="7">
        <f>DAY(InputData[[#This Row],[DATE]])</f>
        <v>8</v>
      </c>
      <c r="O368" s="7" t="str">
        <f>TEXT(InputData[[#This Row],[DATE]],"MMM")</f>
        <v>Aug</v>
      </c>
      <c r="P368" s="7">
        <f>YEAR(InputData[[#This Row],[DATE]])</f>
        <v>2022</v>
      </c>
    </row>
    <row r="369" spans="1:16" x14ac:dyDescent="0.25">
      <c r="A369" s="3">
        <v>44828</v>
      </c>
      <c r="B369" s="4" t="s">
        <v>73</v>
      </c>
      <c r="C369" s="5">
        <v>14</v>
      </c>
      <c r="D369" s="5" t="s">
        <v>108</v>
      </c>
      <c r="E369" s="5" t="s">
        <v>106</v>
      </c>
      <c r="F369" s="6">
        <v>0</v>
      </c>
      <c r="G369" s="7" t="str">
        <f>VLOOKUP(InputData[[#This Row],[PRODUCT ID]],MasterData[],2,0)</f>
        <v>sugar</v>
      </c>
      <c r="H369" s="7" t="str">
        <f>VLOOKUP(InputData[[#This Row],[PRODUCT ID]],MasterData[],3,0)</f>
        <v>Category04</v>
      </c>
      <c r="I369" s="7" t="str">
        <f>VLOOKUP(InputData[[#This Row],[PRODUCT ID]],MasterData[],4,0)</f>
        <v>Kg</v>
      </c>
      <c r="J369" s="7">
        <f>VLOOKUP(InputData[[#This Row],[PRODUCT ID]],MasterData[],5,0)</f>
        <v>89</v>
      </c>
      <c r="K369" s="8">
        <f>VLOOKUP(InputData[[#This Row],[PRODUCT ID]],MasterData[],6,0)</f>
        <v>117.48</v>
      </c>
      <c r="L369" s="8">
        <f>InputData[[#This Row],[BUYING PRIZE]]*InputData[[#This Row],[QUANTITY]]</f>
        <v>1246</v>
      </c>
      <c r="M369" s="8">
        <f>InputData[[#This Row],[SELLING PRICE]]*InputData[[#This Row],[QUANTITY]]*(1-InputData[[#This Row],[DISCOUNT %]])</f>
        <v>1644.72</v>
      </c>
      <c r="N369" s="7">
        <f>DAY(InputData[[#This Row],[DATE]])</f>
        <v>24</v>
      </c>
      <c r="O369" s="7" t="str">
        <f>TEXT(InputData[[#This Row],[DATE]],"MMM")</f>
        <v>Sep</v>
      </c>
      <c r="P369" s="7">
        <f>YEAR(InputData[[#This Row],[DATE]])</f>
        <v>2022</v>
      </c>
    </row>
    <row r="370" spans="1:16" x14ac:dyDescent="0.25">
      <c r="A370" s="3">
        <v>44828</v>
      </c>
      <c r="B370" s="4" t="s">
        <v>73</v>
      </c>
      <c r="C370" s="5">
        <v>8</v>
      </c>
      <c r="D370" s="5" t="s">
        <v>108</v>
      </c>
      <c r="E370" s="5" t="s">
        <v>107</v>
      </c>
      <c r="F370" s="6">
        <v>0</v>
      </c>
      <c r="G370" s="7" t="str">
        <f>VLOOKUP(InputData[[#This Row],[PRODUCT ID]],MasterData[],2,0)</f>
        <v>sugar</v>
      </c>
      <c r="H370" s="7" t="str">
        <f>VLOOKUP(InputData[[#This Row],[PRODUCT ID]],MasterData[],3,0)</f>
        <v>Category04</v>
      </c>
      <c r="I370" s="7" t="str">
        <f>VLOOKUP(InputData[[#This Row],[PRODUCT ID]],MasterData[],4,0)</f>
        <v>Kg</v>
      </c>
      <c r="J370" s="7">
        <f>VLOOKUP(InputData[[#This Row],[PRODUCT ID]],MasterData[],5,0)</f>
        <v>89</v>
      </c>
      <c r="K370" s="8">
        <f>VLOOKUP(InputData[[#This Row],[PRODUCT ID]],MasterData[],6,0)</f>
        <v>117.48</v>
      </c>
      <c r="L370" s="8">
        <f>InputData[[#This Row],[BUYING PRIZE]]*InputData[[#This Row],[QUANTITY]]</f>
        <v>712</v>
      </c>
      <c r="M370" s="8">
        <f>InputData[[#This Row],[SELLING PRICE]]*InputData[[#This Row],[QUANTITY]]*(1-InputData[[#This Row],[DISCOUNT %]])</f>
        <v>939.84</v>
      </c>
      <c r="N370" s="7">
        <f>DAY(InputData[[#This Row],[DATE]])</f>
        <v>24</v>
      </c>
      <c r="O370" s="7" t="str">
        <f>TEXT(InputData[[#This Row],[DATE]],"MMM")</f>
        <v>Sep</v>
      </c>
      <c r="P370" s="7">
        <f>YEAR(InputData[[#This Row],[DATE]])</f>
        <v>2022</v>
      </c>
    </row>
    <row r="371" spans="1:16" x14ac:dyDescent="0.25">
      <c r="A371" s="3">
        <v>44891</v>
      </c>
      <c r="B371" s="4" t="s">
        <v>73</v>
      </c>
      <c r="C371" s="5">
        <v>5</v>
      </c>
      <c r="D371" s="5" t="s">
        <v>108</v>
      </c>
      <c r="E371" s="5" t="s">
        <v>106</v>
      </c>
      <c r="F371" s="6">
        <v>0</v>
      </c>
      <c r="G371" s="7" t="str">
        <f>VLOOKUP(InputData[[#This Row],[PRODUCT ID]],MasterData[],2,0)</f>
        <v>sugar</v>
      </c>
      <c r="H371" s="7" t="str">
        <f>VLOOKUP(InputData[[#This Row],[PRODUCT ID]],MasterData[],3,0)</f>
        <v>Category04</v>
      </c>
      <c r="I371" s="7" t="str">
        <f>VLOOKUP(InputData[[#This Row],[PRODUCT ID]],MasterData[],4,0)</f>
        <v>Kg</v>
      </c>
      <c r="J371" s="7">
        <f>VLOOKUP(InputData[[#This Row],[PRODUCT ID]],MasterData[],5,0)</f>
        <v>89</v>
      </c>
      <c r="K371" s="8">
        <f>VLOOKUP(InputData[[#This Row],[PRODUCT ID]],MasterData[],6,0)</f>
        <v>117.48</v>
      </c>
      <c r="L371" s="8">
        <f>InputData[[#This Row],[BUYING PRIZE]]*InputData[[#This Row],[QUANTITY]]</f>
        <v>445</v>
      </c>
      <c r="M371" s="8">
        <f>InputData[[#This Row],[SELLING PRICE]]*InputData[[#This Row],[QUANTITY]]*(1-InputData[[#This Row],[DISCOUNT %]])</f>
        <v>587.4</v>
      </c>
      <c r="N371" s="7">
        <f>DAY(InputData[[#This Row],[DATE]])</f>
        <v>26</v>
      </c>
      <c r="O371" s="7" t="str">
        <f>TEXT(InputData[[#This Row],[DATE]],"MMM")</f>
        <v>Nov</v>
      </c>
      <c r="P371" s="7">
        <f>YEAR(InputData[[#This Row],[DATE]])</f>
        <v>2022</v>
      </c>
    </row>
    <row r="372" spans="1:16" x14ac:dyDescent="0.25">
      <c r="A372" s="3">
        <v>44298</v>
      </c>
      <c r="B372" s="4" t="s">
        <v>75</v>
      </c>
      <c r="C372" s="5">
        <v>13</v>
      </c>
      <c r="D372" s="5" t="s">
        <v>108</v>
      </c>
      <c r="E372" s="5" t="s">
        <v>107</v>
      </c>
      <c r="F372" s="6">
        <v>0</v>
      </c>
      <c r="G372" s="7" t="str">
        <f>VLOOKUP(InputData[[#This Row],[PRODUCT ID]],MasterData[],2,0)</f>
        <v>Grains</v>
      </c>
      <c r="H372" s="7" t="str">
        <f>VLOOKUP(InputData[[#This Row],[PRODUCT ID]],MasterData[],3,0)</f>
        <v>Category04</v>
      </c>
      <c r="I372" s="7" t="str">
        <f>VLOOKUP(InputData[[#This Row],[PRODUCT ID]],MasterData[],4,0)</f>
        <v>Kg</v>
      </c>
      <c r="J372" s="7">
        <f>VLOOKUP(InputData[[#This Row],[PRODUCT ID]],MasterData[],5,0)</f>
        <v>95</v>
      </c>
      <c r="K372" s="8">
        <f>VLOOKUP(InputData[[#This Row],[PRODUCT ID]],MasterData[],6,0)</f>
        <v>119.7</v>
      </c>
      <c r="L372" s="8">
        <f>InputData[[#This Row],[BUYING PRIZE]]*InputData[[#This Row],[QUANTITY]]</f>
        <v>1235</v>
      </c>
      <c r="M372" s="8">
        <f>InputData[[#This Row],[SELLING PRICE]]*InputData[[#This Row],[QUANTITY]]*(1-InputData[[#This Row],[DISCOUNT %]])</f>
        <v>1556.1000000000001</v>
      </c>
      <c r="N372" s="7">
        <f>DAY(InputData[[#This Row],[DATE]])</f>
        <v>12</v>
      </c>
      <c r="O372" s="7" t="str">
        <f>TEXT(InputData[[#This Row],[DATE]],"MMM")</f>
        <v>Apr</v>
      </c>
      <c r="P372" s="7">
        <f>YEAR(InputData[[#This Row],[DATE]])</f>
        <v>2021</v>
      </c>
    </row>
    <row r="373" spans="1:16" x14ac:dyDescent="0.25">
      <c r="A373" s="3">
        <v>44353</v>
      </c>
      <c r="B373" s="4" t="s">
        <v>75</v>
      </c>
      <c r="C373" s="5">
        <v>6</v>
      </c>
      <c r="D373" s="5" t="s">
        <v>108</v>
      </c>
      <c r="E373" s="5" t="s">
        <v>106</v>
      </c>
      <c r="F373" s="6">
        <v>0</v>
      </c>
      <c r="G373" s="7" t="str">
        <f>VLOOKUP(InputData[[#This Row],[PRODUCT ID]],MasterData[],2,0)</f>
        <v>Grains</v>
      </c>
      <c r="H373" s="7" t="str">
        <f>VLOOKUP(InputData[[#This Row],[PRODUCT ID]],MasterData[],3,0)</f>
        <v>Category04</v>
      </c>
      <c r="I373" s="7" t="str">
        <f>VLOOKUP(InputData[[#This Row],[PRODUCT ID]],MasterData[],4,0)</f>
        <v>Kg</v>
      </c>
      <c r="J373" s="7">
        <f>VLOOKUP(InputData[[#This Row],[PRODUCT ID]],MasterData[],5,0)</f>
        <v>95</v>
      </c>
      <c r="K373" s="8">
        <f>VLOOKUP(InputData[[#This Row],[PRODUCT ID]],MasterData[],6,0)</f>
        <v>119.7</v>
      </c>
      <c r="L373" s="8">
        <f>InputData[[#This Row],[BUYING PRIZE]]*InputData[[#This Row],[QUANTITY]]</f>
        <v>570</v>
      </c>
      <c r="M373" s="8">
        <f>InputData[[#This Row],[SELLING PRICE]]*InputData[[#This Row],[QUANTITY]]*(1-InputData[[#This Row],[DISCOUNT %]])</f>
        <v>718.2</v>
      </c>
      <c r="N373" s="7">
        <f>DAY(InputData[[#This Row],[DATE]])</f>
        <v>6</v>
      </c>
      <c r="O373" s="7" t="str">
        <f>TEXT(InputData[[#This Row],[DATE]],"MMM")</f>
        <v>Jun</v>
      </c>
      <c r="P373" s="7">
        <f>YEAR(InputData[[#This Row],[DATE]])</f>
        <v>2021</v>
      </c>
    </row>
    <row r="374" spans="1:16" x14ac:dyDescent="0.25">
      <c r="A374" s="3">
        <v>44380</v>
      </c>
      <c r="B374" s="4" t="s">
        <v>75</v>
      </c>
      <c r="C374" s="5">
        <v>9</v>
      </c>
      <c r="D374" s="5" t="s">
        <v>106</v>
      </c>
      <c r="E374" s="5" t="s">
        <v>107</v>
      </c>
      <c r="F374" s="6">
        <v>0</v>
      </c>
      <c r="G374" s="7" t="str">
        <f>VLOOKUP(InputData[[#This Row],[PRODUCT ID]],MasterData[],2,0)</f>
        <v>Grains</v>
      </c>
      <c r="H374" s="7" t="str">
        <f>VLOOKUP(InputData[[#This Row],[PRODUCT ID]],MasterData[],3,0)</f>
        <v>Category04</v>
      </c>
      <c r="I374" s="7" t="str">
        <f>VLOOKUP(InputData[[#This Row],[PRODUCT ID]],MasterData[],4,0)</f>
        <v>Kg</v>
      </c>
      <c r="J374" s="7">
        <f>VLOOKUP(InputData[[#This Row],[PRODUCT ID]],MasterData[],5,0)</f>
        <v>95</v>
      </c>
      <c r="K374" s="8">
        <f>VLOOKUP(InputData[[#This Row],[PRODUCT ID]],MasterData[],6,0)</f>
        <v>119.7</v>
      </c>
      <c r="L374" s="8">
        <f>InputData[[#This Row],[BUYING PRIZE]]*InputData[[#This Row],[QUANTITY]]</f>
        <v>855</v>
      </c>
      <c r="M374" s="8">
        <f>InputData[[#This Row],[SELLING PRICE]]*InputData[[#This Row],[QUANTITY]]*(1-InputData[[#This Row],[DISCOUNT %]])</f>
        <v>1077.3</v>
      </c>
      <c r="N374" s="7">
        <f>DAY(InputData[[#This Row],[DATE]])</f>
        <v>3</v>
      </c>
      <c r="O374" s="7" t="str">
        <f>TEXT(InputData[[#This Row],[DATE]],"MMM")</f>
        <v>Jul</v>
      </c>
      <c r="P374" s="7">
        <f>YEAR(InputData[[#This Row],[DATE]])</f>
        <v>2021</v>
      </c>
    </row>
    <row r="375" spans="1:16" x14ac:dyDescent="0.25">
      <c r="A375" s="3">
        <v>44563</v>
      </c>
      <c r="B375" s="4" t="s">
        <v>75</v>
      </c>
      <c r="C375" s="5">
        <v>1</v>
      </c>
      <c r="D375" s="5" t="s">
        <v>108</v>
      </c>
      <c r="E375" s="5" t="s">
        <v>107</v>
      </c>
      <c r="F375" s="6">
        <v>0</v>
      </c>
      <c r="G375" s="7" t="str">
        <f>VLOOKUP(InputData[[#This Row],[PRODUCT ID]],MasterData[],2,0)</f>
        <v>Grains</v>
      </c>
      <c r="H375" s="7" t="str">
        <f>VLOOKUP(InputData[[#This Row],[PRODUCT ID]],MasterData[],3,0)</f>
        <v>Category04</v>
      </c>
      <c r="I375" s="7" t="str">
        <f>VLOOKUP(InputData[[#This Row],[PRODUCT ID]],MasterData[],4,0)</f>
        <v>Kg</v>
      </c>
      <c r="J375" s="7">
        <f>VLOOKUP(InputData[[#This Row],[PRODUCT ID]],MasterData[],5,0)</f>
        <v>95</v>
      </c>
      <c r="K375" s="8">
        <f>VLOOKUP(InputData[[#This Row],[PRODUCT ID]],MasterData[],6,0)</f>
        <v>119.7</v>
      </c>
      <c r="L375" s="8">
        <f>InputData[[#This Row],[BUYING PRIZE]]*InputData[[#This Row],[QUANTITY]]</f>
        <v>95</v>
      </c>
      <c r="M375" s="8">
        <f>InputData[[#This Row],[SELLING PRICE]]*InputData[[#This Row],[QUANTITY]]*(1-InputData[[#This Row],[DISCOUNT %]])</f>
        <v>119.7</v>
      </c>
      <c r="N375" s="7">
        <f>DAY(InputData[[#This Row],[DATE]])</f>
        <v>2</v>
      </c>
      <c r="O375" s="7" t="str">
        <f>TEXT(InputData[[#This Row],[DATE]],"MMM")</f>
        <v>Jan</v>
      </c>
      <c r="P375" s="7">
        <f>YEAR(InputData[[#This Row],[DATE]])</f>
        <v>2022</v>
      </c>
    </row>
    <row r="376" spans="1:16" x14ac:dyDescent="0.25">
      <c r="A376" s="3">
        <v>44630</v>
      </c>
      <c r="B376" s="4" t="s">
        <v>75</v>
      </c>
      <c r="C376" s="5">
        <v>12</v>
      </c>
      <c r="D376" s="5" t="s">
        <v>105</v>
      </c>
      <c r="E376" s="5" t="s">
        <v>106</v>
      </c>
      <c r="F376" s="6">
        <v>0</v>
      </c>
      <c r="G376" s="7" t="str">
        <f>VLOOKUP(InputData[[#This Row],[PRODUCT ID]],MasterData[],2,0)</f>
        <v>Grains</v>
      </c>
      <c r="H376" s="7" t="str">
        <f>VLOOKUP(InputData[[#This Row],[PRODUCT ID]],MasterData[],3,0)</f>
        <v>Category04</v>
      </c>
      <c r="I376" s="7" t="str">
        <f>VLOOKUP(InputData[[#This Row],[PRODUCT ID]],MasterData[],4,0)</f>
        <v>Kg</v>
      </c>
      <c r="J376" s="7">
        <f>VLOOKUP(InputData[[#This Row],[PRODUCT ID]],MasterData[],5,0)</f>
        <v>95</v>
      </c>
      <c r="K376" s="8">
        <f>VLOOKUP(InputData[[#This Row],[PRODUCT ID]],MasterData[],6,0)</f>
        <v>119.7</v>
      </c>
      <c r="L376" s="8">
        <f>InputData[[#This Row],[BUYING PRIZE]]*InputData[[#This Row],[QUANTITY]]</f>
        <v>1140</v>
      </c>
      <c r="M376" s="8">
        <f>InputData[[#This Row],[SELLING PRICE]]*InputData[[#This Row],[QUANTITY]]*(1-InputData[[#This Row],[DISCOUNT %]])</f>
        <v>1436.4</v>
      </c>
      <c r="N376" s="7">
        <f>DAY(InputData[[#This Row],[DATE]])</f>
        <v>10</v>
      </c>
      <c r="O376" s="7" t="str">
        <f>TEXT(InputData[[#This Row],[DATE]],"MMM")</f>
        <v>Mar</v>
      </c>
      <c r="P376" s="7">
        <f>YEAR(InputData[[#This Row],[DATE]])</f>
        <v>2022</v>
      </c>
    </row>
    <row r="377" spans="1:16" x14ac:dyDescent="0.25">
      <c r="A377" s="3">
        <v>44682</v>
      </c>
      <c r="B377" s="4" t="s">
        <v>75</v>
      </c>
      <c r="C377" s="5">
        <v>6</v>
      </c>
      <c r="D377" s="5" t="s">
        <v>106</v>
      </c>
      <c r="E377" s="5" t="s">
        <v>106</v>
      </c>
      <c r="F377" s="6">
        <v>0</v>
      </c>
      <c r="G377" s="7" t="str">
        <f>VLOOKUP(InputData[[#This Row],[PRODUCT ID]],MasterData[],2,0)</f>
        <v>Grains</v>
      </c>
      <c r="H377" s="7" t="str">
        <f>VLOOKUP(InputData[[#This Row],[PRODUCT ID]],MasterData[],3,0)</f>
        <v>Category04</v>
      </c>
      <c r="I377" s="7" t="str">
        <f>VLOOKUP(InputData[[#This Row],[PRODUCT ID]],MasterData[],4,0)</f>
        <v>Kg</v>
      </c>
      <c r="J377" s="7">
        <f>VLOOKUP(InputData[[#This Row],[PRODUCT ID]],MasterData[],5,0)</f>
        <v>95</v>
      </c>
      <c r="K377" s="8">
        <f>VLOOKUP(InputData[[#This Row],[PRODUCT ID]],MasterData[],6,0)</f>
        <v>119.7</v>
      </c>
      <c r="L377" s="8">
        <f>InputData[[#This Row],[BUYING PRIZE]]*InputData[[#This Row],[QUANTITY]]</f>
        <v>570</v>
      </c>
      <c r="M377" s="8">
        <f>InputData[[#This Row],[SELLING PRICE]]*InputData[[#This Row],[QUANTITY]]*(1-InputData[[#This Row],[DISCOUNT %]])</f>
        <v>718.2</v>
      </c>
      <c r="N377" s="7">
        <f>DAY(InputData[[#This Row],[DATE]])</f>
        <v>1</v>
      </c>
      <c r="O377" s="7" t="str">
        <f>TEXT(InputData[[#This Row],[DATE]],"MMM")</f>
        <v>May</v>
      </c>
      <c r="P377" s="7">
        <f>YEAR(InputData[[#This Row],[DATE]])</f>
        <v>2022</v>
      </c>
    </row>
    <row r="378" spans="1:16" x14ac:dyDescent="0.25">
      <c r="A378" s="3">
        <v>44711</v>
      </c>
      <c r="B378" s="4" t="s">
        <v>75</v>
      </c>
      <c r="C378" s="5">
        <v>3</v>
      </c>
      <c r="D378" s="5" t="s">
        <v>106</v>
      </c>
      <c r="E378" s="5" t="s">
        <v>107</v>
      </c>
      <c r="F378" s="6">
        <v>0</v>
      </c>
      <c r="G378" s="7" t="str">
        <f>VLOOKUP(InputData[[#This Row],[PRODUCT ID]],MasterData[],2,0)</f>
        <v>Grains</v>
      </c>
      <c r="H378" s="7" t="str">
        <f>VLOOKUP(InputData[[#This Row],[PRODUCT ID]],MasterData[],3,0)</f>
        <v>Category04</v>
      </c>
      <c r="I378" s="7" t="str">
        <f>VLOOKUP(InputData[[#This Row],[PRODUCT ID]],MasterData[],4,0)</f>
        <v>Kg</v>
      </c>
      <c r="J378" s="7">
        <f>VLOOKUP(InputData[[#This Row],[PRODUCT ID]],MasterData[],5,0)</f>
        <v>95</v>
      </c>
      <c r="K378" s="8">
        <f>VLOOKUP(InputData[[#This Row],[PRODUCT ID]],MasterData[],6,0)</f>
        <v>119.7</v>
      </c>
      <c r="L378" s="8">
        <f>InputData[[#This Row],[BUYING PRIZE]]*InputData[[#This Row],[QUANTITY]]</f>
        <v>285</v>
      </c>
      <c r="M378" s="8">
        <f>InputData[[#This Row],[SELLING PRICE]]*InputData[[#This Row],[QUANTITY]]*(1-InputData[[#This Row],[DISCOUNT %]])</f>
        <v>359.1</v>
      </c>
      <c r="N378" s="7">
        <f>DAY(InputData[[#This Row],[DATE]])</f>
        <v>30</v>
      </c>
      <c r="O378" s="7" t="str">
        <f>TEXT(InputData[[#This Row],[DATE]],"MMM")</f>
        <v>May</v>
      </c>
      <c r="P378" s="7">
        <f>YEAR(InputData[[#This Row],[DATE]])</f>
        <v>2022</v>
      </c>
    </row>
    <row r="379" spans="1:16" x14ac:dyDescent="0.25">
      <c r="A379" s="3">
        <v>44745</v>
      </c>
      <c r="B379" s="4" t="s">
        <v>75</v>
      </c>
      <c r="C379" s="5">
        <v>15</v>
      </c>
      <c r="D379" s="5" t="s">
        <v>108</v>
      </c>
      <c r="E379" s="5" t="s">
        <v>107</v>
      </c>
      <c r="F379" s="6">
        <v>0</v>
      </c>
      <c r="G379" s="7" t="str">
        <f>VLOOKUP(InputData[[#This Row],[PRODUCT ID]],MasterData[],2,0)</f>
        <v>Grains</v>
      </c>
      <c r="H379" s="7" t="str">
        <f>VLOOKUP(InputData[[#This Row],[PRODUCT ID]],MasterData[],3,0)</f>
        <v>Category04</v>
      </c>
      <c r="I379" s="7" t="str">
        <f>VLOOKUP(InputData[[#This Row],[PRODUCT ID]],MasterData[],4,0)</f>
        <v>Kg</v>
      </c>
      <c r="J379" s="7">
        <f>VLOOKUP(InputData[[#This Row],[PRODUCT ID]],MasterData[],5,0)</f>
        <v>95</v>
      </c>
      <c r="K379" s="8">
        <f>VLOOKUP(InputData[[#This Row],[PRODUCT ID]],MasterData[],6,0)</f>
        <v>119.7</v>
      </c>
      <c r="L379" s="8">
        <f>InputData[[#This Row],[BUYING PRIZE]]*InputData[[#This Row],[QUANTITY]]</f>
        <v>1425</v>
      </c>
      <c r="M379" s="8">
        <f>InputData[[#This Row],[SELLING PRICE]]*InputData[[#This Row],[QUANTITY]]*(1-InputData[[#This Row],[DISCOUNT %]])</f>
        <v>1795.5</v>
      </c>
      <c r="N379" s="7">
        <f>DAY(InputData[[#This Row],[DATE]])</f>
        <v>3</v>
      </c>
      <c r="O379" s="7" t="str">
        <f>TEXT(InputData[[#This Row],[DATE]],"MMM")</f>
        <v>Jul</v>
      </c>
      <c r="P379" s="7">
        <f>YEAR(InputData[[#This Row],[DATE]])</f>
        <v>2022</v>
      </c>
    </row>
    <row r="380" spans="1:16" x14ac:dyDescent="0.25">
      <c r="A380" s="3">
        <v>44756</v>
      </c>
      <c r="B380" s="4" t="s">
        <v>75</v>
      </c>
      <c r="C380" s="5">
        <v>9</v>
      </c>
      <c r="D380" s="5" t="s">
        <v>108</v>
      </c>
      <c r="E380" s="5" t="s">
        <v>106</v>
      </c>
      <c r="F380" s="6">
        <v>0</v>
      </c>
      <c r="G380" s="7" t="str">
        <f>VLOOKUP(InputData[[#This Row],[PRODUCT ID]],MasterData[],2,0)</f>
        <v>Grains</v>
      </c>
      <c r="H380" s="7" t="str">
        <f>VLOOKUP(InputData[[#This Row],[PRODUCT ID]],MasterData[],3,0)</f>
        <v>Category04</v>
      </c>
      <c r="I380" s="7" t="str">
        <f>VLOOKUP(InputData[[#This Row],[PRODUCT ID]],MasterData[],4,0)</f>
        <v>Kg</v>
      </c>
      <c r="J380" s="7">
        <f>VLOOKUP(InputData[[#This Row],[PRODUCT ID]],MasterData[],5,0)</f>
        <v>95</v>
      </c>
      <c r="K380" s="8">
        <f>VLOOKUP(InputData[[#This Row],[PRODUCT ID]],MasterData[],6,0)</f>
        <v>119.7</v>
      </c>
      <c r="L380" s="8">
        <f>InputData[[#This Row],[BUYING PRIZE]]*InputData[[#This Row],[QUANTITY]]</f>
        <v>855</v>
      </c>
      <c r="M380" s="8">
        <f>InputData[[#This Row],[SELLING PRICE]]*InputData[[#This Row],[QUANTITY]]*(1-InputData[[#This Row],[DISCOUNT %]])</f>
        <v>1077.3</v>
      </c>
      <c r="N380" s="7">
        <f>DAY(InputData[[#This Row],[DATE]])</f>
        <v>14</v>
      </c>
      <c r="O380" s="7" t="str">
        <f>TEXT(InputData[[#This Row],[DATE]],"MMM")</f>
        <v>Jul</v>
      </c>
      <c r="P380" s="7">
        <f>YEAR(InputData[[#This Row],[DATE]])</f>
        <v>2022</v>
      </c>
    </row>
    <row r="381" spans="1:16" x14ac:dyDescent="0.25">
      <c r="A381" s="3">
        <v>44793</v>
      </c>
      <c r="B381" s="4" t="s">
        <v>75</v>
      </c>
      <c r="C381" s="5">
        <v>14</v>
      </c>
      <c r="D381" s="5" t="s">
        <v>108</v>
      </c>
      <c r="E381" s="5" t="s">
        <v>106</v>
      </c>
      <c r="F381" s="6">
        <v>0</v>
      </c>
      <c r="G381" s="7" t="str">
        <f>VLOOKUP(InputData[[#This Row],[PRODUCT ID]],MasterData[],2,0)</f>
        <v>Grains</v>
      </c>
      <c r="H381" s="7" t="str">
        <f>VLOOKUP(InputData[[#This Row],[PRODUCT ID]],MasterData[],3,0)</f>
        <v>Category04</v>
      </c>
      <c r="I381" s="7" t="str">
        <f>VLOOKUP(InputData[[#This Row],[PRODUCT ID]],MasterData[],4,0)</f>
        <v>Kg</v>
      </c>
      <c r="J381" s="7">
        <f>VLOOKUP(InputData[[#This Row],[PRODUCT ID]],MasterData[],5,0)</f>
        <v>95</v>
      </c>
      <c r="K381" s="8">
        <f>VLOOKUP(InputData[[#This Row],[PRODUCT ID]],MasterData[],6,0)</f>
        <v>119.7</v>
      </c>
      <c r="L381" s="8">
        <f>InputData[[#This Row],[BUYING PRIZE]]*InputData[[#This Row],[QUANTITY]]</f>
        <v>1330</v>
      </c>
      <c r="M381" s="8">
        <f>InputData[[#This Row],[SELLING PRICE]]*InputData[[#This Row],[QUANTITY]]*(1-InputData[[#This Row],[DISCOUNT %]])</f>
        <v>1675.8</v>
      </c>
      <c r="N381" s="7">
        <f>DAY(InputData[[#This Row],[DATE]])</f>
        <v>20</v>
      </c>
      <c r="O381" s="7" t="str">
        <f>TEXT(InputData[[#This Row],[DATE]],"MMM")</f>
        <v>Aug</v>
      </c>
      <c r="P381" s="7">
        <f>YEAR(InputData[[#This Row],[DATE]])</f>
        <v>2022</v>
      </c>
    </row>
    <row r="382" spans="1:16" x14ac:dyDescent="0.25">
      <c r="A382" s="3">
        <v>44823</v>
      </c>
      <c r="B382" s="4" t="s">
        <v>75</v>
      </c>
      <c r="C382" s="5">
        <v>8</v>
      </c>
      <c r="D382" s="5" t="s">
        <v>105</v>
      </c>
      <c r="E382" s="5" t="s">
        <v>107</v>
      </c>
      <c r="F382" s="6">
        <v>0</v>
      </c>
      <c r="G382" s="7" t="str">
        <f>VLOOKUP(InputData[[#This Row],[PRODUCT ID]],MasterData[],2,0)</f>
        <v>Grains</v>
      </c>
      <c r="H382" s="7" t="str">
        <f>VLOOKUP(InputData[[#This Row],[PRODUCT ID]],MasterData[],3,0)</f>
        <v>Category04</v>
      </c>
      <c r="I382" s="7" t="str">
        <f>VLOOKUP(InputData[[#This Row],[PRODUCT ID]],MasterData[],4,0)</f>
        <v>Kg</v>
      </c>
      <c r="J382" s="7">
        <f>VLOOKUP(InputData[[#This Row],[PRODUCT ID]],MasterData[],5,0)</f>
        <v>95</v>
      </c>
      <c r="K382" s="8">
        <f>VLOOKUP(InputData[[#This Row],[PRODUCT ID]],MasterData[],6,0)</f>
        <v>119.7</v>
      </c>
      <c r="L382" s="8">
        <f>InputData[[#This Row],[BUYING PRIZE]]*InputData[[#This Row],[QUANTITY]]</f>
        <v>760</v>
      </c>
      <c r="M382" s="8">
        <f>InputData[[#This Row],[SELLING PRICE]]*InputData[[#This Row],[QUANTITY]]*(1-InputData[[#This Row],[DISCOUNT %]])</f>
        <v>957.6</v>
      </c>
      <c r="N382" s="7">
        <f>DAY(InputData[[#This Row],[DATE]])</f>
        <v>19</v>
      </c>
      <c r="O382" s="7" t="str">
        <f>TEXT(InputData[[#This Row],[DATE]],"MMM")</f>
        <v>Sep</v>
      </c>
      <c r="P382" s="7">
        <f>YEAR(InputData[[#This Row],[DATE]])</f>
        <v>2022</v>
      </c>
    </row>
    <row r="383" spans="1:16" x14ac:dyDescent="0.25">
      <c r="A383" s="3">
        <v>44824</v>
      </c>
      <c r="B383" s="4" t="s">
        <v>75</v>
      </c>
      <c r="C383" s="5">
        <v>6</v>
      </c>
      <c r="D383" s="5" t="s">
        <v>108</v>
      </c>
      <c r="E383" s="5" t="s">
        <v>106</v>
      </c>
      <c r="F383" s="6">
        <v>0</v>
      </c>
      <c r="G383" s="7" t="str">
        <f>VLOOKUP(InputData[[#This Row],[PRODUCT ID]],MasterData[],2,0)</f>
        <v>Grains</v>
      </c>
      <c r="H383" s="7" t="str">
        <f>VLOOKUP(InputData[[#This Row],[PRODUCT ID]],MasterData[],3,0)</f>
        <v>Category04</v>
      </c>
      <c r="I383" s="7" t="str">
        <f>VLOOKUP(InputData[[#This Row],[PRODUCT ID]],MasterData[],4,0)</f>
        <v>Kg</v>
      </c>
      <c r="J383" s="7">
        <f>VLOOKUP(InputData[[#This Row],[PRODUCT ID]],MasterData[],5,0)</f>
        <v>95</v>
      </c>
      <c r="K383" s="8">
        <f>VLOOKUP(InputData[[#This Row],[PRODUCT ID]],MasterData[],6,0)</f>
        <v>119.7</v>
      </c>
      <c r="L383" s="8">
        <f>InputData[[#This Row],[BUYING PRIZE]]*InputData[[#This Row],[QUANTITY]]</f>
        <v>570</v>
      </c>
      <c r="M383" s="8">
        <f>InputData[[#This Row],[SELLING PRICE]]*InputData[[#This Row],[QUANTITY]]*(1-InputData[[#This Row],[DISCOUNT %]])</f>
        <v>718.2</v>
      </c>
      <c r="N383" s="7">
        <f>DAY(InputData[[#This Row],[DATE]])</f>
        <v>20</v>
      </c>
      <c r="O383" s="7" t="str">
        <f>TEXT(InputData[[#This Row],[DATE]],"MMM")</f>
        <v>Sep</v>
      </c>
      <c r="P383" s="7">
        <f>YEAR(InputData[[#This Row],[DATE]])</f>
        <v>2022</v>
      </c>
    </row>
    <row r="384" spans="1:16" x14ac:dyDescent="0.25">
      <c r="A384" s="3">
        <v>44926</v>
      </c>
      <c r="B384" s="4" t="s">
        <v>75</v>
      </c>
      <c r="C384" s="5">
        <v>12</v>
      </c>
      <c r="D384" s="5" t="s">
        <v>106</v>
      </c>
      <c r="E384" s="5" t="s">
        <v>106</v>
      </c>
      <c r="F384" s="6">
        <v>0</v>
      </c>
      <c r="G384" s="7" t="str">
        <f>VLOOKUP(InputData[[#This Row],[PRODUCT ID]],MasterData[],2,0)</f>
        <v>Grains</v>
      </c>
      <c r="H384" s="7" t="str">
        <f>VLOOKUP(InputData[[#This Row],[PRODUCT ID]],MasterData[],3,0)</f>
        <v>Category04</v>
      </c>
      <c r="I384" s="7" t="str">
        <f>VLOOKUP(InputData[[#This Row],[PRODUCT ID]],MasterData[],4,0)</f>
        <v>Kg</v>
      </c>
      <c r="J384" s="7">
        <f>VLOOKUP(InputData[[#This Row],[PRODUCT ID]],MasterData[],5,0)</f>
        <v>95</v>
      </c>
      <c r="K384" s="8">
        <f>VLOOKUP(InputData[[#This Row],[PRODUCT ID]],MasterData[],6,0)</f>
        <v>119.7</v>
      </c>
      <c r="L384" s="8">
        <f>InputData[[#This Row],[BUYING PRIZE]]*InputData[[#This Row],[QUANTITY]]</f>
        <v>1140</v>
      </c>
      <c r="M384" s="8">
        <f>InputData[[#This Row],[SELLING PRICE]]*InputData[[#This Row],[QUANTITY]]*(1-InputData[[#This Row],[DISCOUNT %]])</f>
        <v>1436.4</v>
      </c>
      <c r="N384" s="7">
        <f>DAY(InputData[[#This Row],[DATE]])</f>
        <v>31</v>
      </c>
      <c r="O384" s="7" t="str">
        <f>TEXT(InputData[[#This Row],[DATE]],"MMM")</f>
        <v>Dec</v>
      </c>
      <c r="P384" s="7">
        <f>YEAR(InputData[[#This Row],[DATE]])</f>
        <v>2022</v>
      </c>
    </row>
    <row r="385" spans="1:16" x14ac:dyDescent="0.25">
      <c r="A385" s="3">
        <v>44216</v>
      </c>
      <c r="B385" s="4" t="s">
        <v>77</v>
      </c>
      <c r="C385" s="5">
        <v>4</v>
      </c>
      <c r="D385" s="5" t="s">
        <v>108</v>
      </c>
      <c r="E385" s="5" t="s">
        <v>107</v>
      </c>
      <c r="F385" s="6">
        <v>0</v>
      </c>
      <c r="G385" s="7" t="str">
        <f>VLOOKUP(InputData[[#This Row],[PRODUCT ID]],MasterData[],2,0)</f>
        <v>water cane</v>
      </c>
      <c r="H385" s="7" t="str">
        <f>VLOOKUP(InputData[[#This Row],[PRODUCT ID]],MasterData[],3,0)</f>
        <v>Category04</v>
      </c>
      <c r="I385" s="7" t="str">
        <f>VLOOKUP(InputData[[#This Row],[PRODUCT ID]],MasterData[],4,0)</f>
        <v>Lt</v>
      </c>
      <c r="J385" s="7">
        <f>VLOOKUP(InputData[[#This Row],[PRODUCT ID]],MasterData[],5,0)</f>
        <v>55</v>
      </c>
      <c r="K385" s="8">
        <f>VLOOKUP(InputData[[#This Row],[PRODUCT ID]],MasterData[],6,0)</f>
        <v>58.3</v>
      </c>
      <c r="L385" s="8">
        <f>InputData[[#This Row],[BUYING PRIZE]]*InputData[[#This Row],[QUANTITY]]</f>
        <v>220</v>
      </c>
      <c r="M385" s="8">
        <f>InputData[[#This Row],[SELLING PRICE]]*InputData[[#This Row],[QUANTITY]]*(1-InputData[[#This Row],[DISCOUNT %]])</f>
        <v>233.2</v>
      </c>
      <c r="N385" s="7">
        <f>DAY(InputData[[#This Row],[DATE]])</f>
        <v>20</v>
      </c>
      <c r="O385" s="7" t="str">
        <f>TEXT(InputData[[#This Row],[DATE]],"MMM")</f>
        <v>Jan</v>
      </c>
      <c r="P385" s="7">
        <f>YEAR(InputData[[#This Row],[DATE]])</f>
        <v>2021</v>
      </c>
    </row>
    <row r="386" spans="1:16" x14ac:dyDescent="0.25">
      <c r="A386" s="3">
        <v>44221</v>
      </c>
      <c r="B386" s="4" t="s">
        <v>77</v>
      </c>
      <c r="C386" s="5">
        <v>6</v>
      </c>
      <c r="D386" s="5" t="s">
        <v>108</v>
      </c>
      <c r="E386" s="5" t="s">
        <v>107</v>
      </c>
      <c r="F386" s="6">
        <v>0</v>
      </c>
      <c r="G386" s="7" t="str">
        <f>VLOOKUP(InputData[[#This Row],[PRODUCT ID]],MasterData[],2,0)</f>
        <v>water cane</v>
      </c>
      <c r="H386" s="7" t="str">
        <f>VLOOKUP(InputData[[#This Row],[PRODUCT ID]],MasterData[],3,0)</f>
        <v>Category04</v>
      </c>
      <c r="I386" s="7" t="str">
        <f>VLOOKUP(InputData[[#This Row],[PRODUCT ID]],MasterData[],4,0)</f>
        <v>Lt</v>
      </c>
      <c r="J386" s="7">
        <f>VLOOKUP(InputData[[#This Row],[PRODUCT ID]],MasterData[],5,0)</f>
        <v>55</v>
      </c>
      <c r="K386" s="8">
        <f>VLOOKUP(InputData[[#This Row],[PRODUCT ID]],MasterData[],6,0)</f>
        <v>58.3</v>
      </c>
      <c r="L386" s="8">
        <f>InputData[[#This Row],[BUYING PRIZE]]*InputData[[#This Row],[QUANTITY]]</f>
        <v>330</v>
      </c>
      <c r="M386" s="8">
        <f>InputData[[#This Row],[SELLING PRICE]]*InputData[[#This Row],[QUANTITY]]*(1-InputData[[#This Row],[DISCOUNT %]])</f>
        <v>349.79999999999995</v>
      </c>
      <c r="N386" s="7">
        <f>DAY(InputData[[#This Row],[DATE]])</f>
        <v>25</v>
      </c>
      <c r="O386" s="7" t="str">
        <f>TEXT(InputData[[#This Row],[DATE]],"MMM")</f>
        <v>Jan</v>
      </c>
      <c r="P386" s="7">
        <f>YEAR(InputData[[#This Row],[DATE]])</f>
        <v>2021</v>
      </c>
    </row>
    <row r="387" spans="1:16" x14ac:dyDescent="0.25">
      <c r="A387" s="3">
        <v>44236</v>
      </c>
      <c r="B387" s="4" t="s">
        <v>77</v>
      </c>
      <c r="C387" s="5">
        <v>14</v>
      </c>
      <c r="D387" s="5" t="s">
        <v>108</v>
      </c>
      <c r="E387" s="5" t="s">
        <v>106</v>
      </c>
      <c r="F387" s="6">
        <v>0</v>
      </c>
      <c r="G387" s="7" t="str">
        <f>VLOOKUP(InputData[[#This Row],[PRODUCT ID]],MasterData[],2,0)</f>
        <v>water cane</v>
      </c>
      <c r="H387" s="7" t="str">
        <f>VLOOKUP(InputData[[#This Row],[PRODUCT ID]],MasterData[],3,0)</f>
        <v>Category04</v>
      </c>
      <c r="I387" s="7" t="str">
        <f>VLOOKUP(InputData[[#This Row],[PRODUCT ID]],MasterData[],4,0)</f>
        <v>Lt</v>
      </c>
      <c r="J387" s="7">
        <f>VLOOKUP(InputData[[#This Row],[PRODUCT ID]],MasterData[],5,0)</f>
        <v>55</v>
      </c>
      <c r="K387" s="8">
        <f>VLOOKUP(InputData[[#This Row],[PRODUCT ID]],MasterData[],6,0)</f>
        <v>58.3</v>
      </c>
      <c r="L387" s="8">
        <f>InputData[[#This Row],[BUYING PRIZE]]*InputData[[#This Row],[QUANTITY]]</f>
        <v>770</v>
      </c>
      <c r="M387" s="8">
        <f>InputData[[#This Row],[SELLING PRICE]]*InputData[[#This Row],[QUANTITY]]*(1-InputData[[#This Row],[DISCOUNT %]])</f>
        <v>816.19999999999993</v>
      </c>
      <c r="N387" s="7">
        <f>DAY(InputData[[#This Row],[DATE]])</f>
        <v>9</v>
      </c>
      <c r="O387" s="7" t="str">
        <f>TEXT(InputData[[#This Row],[DATE]],"MMM")</f>
        <v>Feb</v>
      </c>
      <c r="P387" s="7">
        <f>YEAR(InputData[[#This Row],[DATE]])</f>
        <v>2021</v>
      </c>
    </row>
    <row r="388" spans="1:16" x14ac:dyDescent="0.25">
      <c r="A388" s="3">
        <v>44319</v>
      </c>
      <c r="B388" s="4" t="s">
        <v>77</v>
      </c>
      <c r="C388" s="5">
        <v>3</v>
      </c>
      <c r="D388" s="5" t="s">
        <v>106</v>
      </c>
      <c r="E388" s="5" t="s">
        <v>106</v>
      </c>
      <c r="F388" s="6">
        <v>0</v>
      </c>
      <c r="G388" s="7" t="str">
        <f>VLOOKUP(InputData[[#This Row],[PRODUCT ID]],MasterData[],2,0)</f>
        <v>water cane</v>
      </c>
      <c r="H388" s="7" t="str">
        <f>VLOOKUP(InputData[[#This Row],[PRODUCT ID]],MasterData[],3,0)</f>
        <v>Category04</v>
      </c>
      <c r="I388" s="7" t="str">
        <f>VLOOKUP(InputData[[#This Row],[PRODUCT ID]],MasterData[],4,0)</f>
        <v>Lt</v>
      </c>
      <c r="J388" s="7">
        <f>VLOOKUP(InputData[[#This Row],[PRODUCT ID]],MasterData[],5,0)</f>
        <v>55</v>
      </c>
      <c r="K388" s="8">
        <f>VLOOKUP(InputData[[#This Row],[PRODUCT ID]],MasterData[],6,0)</f>
        <v>58.3</v>
      </c>
      <c r="L388" s="8">
        <f>InputData[[#This Row],[BUYING PRIZE]]*InputData[[#This Row],[QUANTITY]]</f>
        <v>165</v>
      </c>
      <c r="M388" s="8">
        <f>InputData[[#This Row],[SELLING PRICE]]*InputData[[#This Row],[QUANTITY]]*(1-InputData[[#This Row],[DISCOUNT %]])</f>
        <v>174.89999999999998</v>
      </c>
      <c r="N388" s="7">
        <f>DAY(InputData[[#This Row],[DATE]])</f>
        <v>3</v>
      </c>
      <c r="O388" s="7" t="str">
        <f>TEXT(InputData[[#This Row],[DATE]],"MMM")</f>
        <v>May</v>
      </c>
      <c r="P388" s="7">
        <f>YEAR(InputData[[#This Row],[DATE]])</f>
        <v>2021</v>
      </c>
    </row>
    <row r="389" spans="1:16" x14ac:dyDescent="0.25">
      <c r="A389" s="3">
        <v>44387</v>
      </c>
      <c r="B389" s="4" t="s">
        <v>77</v>
      </c>
      <c r="C389" s="5">
        <v>6</v>
      </c>
      <c r="D389" s="5" t="s">
        <v>105</v>
      </c>
      <c r="E389" s="5" t="s">
        <v>107</v>
      </c>
      <c r="F389" s="6">
        <v>0</v>
      </c>
      <c r="G389" s="7" t="str">
        <f>VLOOKUP(InputData[[#This Row],[PRODUCT ID]],MasterData[],2,0)</f>
        <v>water cane</v>
      </c>
      <c r="H389" s="7" t="str">
        <f>VLOOKUP(InputData[[#This Row],[PRODUCT ID]],MasterData[],3,0)</f>
        <v>Category04</v>
      </c>
      <c r="I389" s="7" t="str">
        <f>VLOOKUP(InputData[[#This Row],[PRODUCT ID]],MasterData[],4,0)</f>
        <v>Lt</v>
      </c>
      <c r="J389" s="7">
        <f>VLOOKUP(InputData[[#This Row],[PRODUCT ID]],MasterData[],5,0)</f>
        <v>55</v>
      </c>
      <c r="K389" s="8">
        <f>VLOOKUP(InputData[[#This Row],[PRODUCT ID]],MasterData[],6,0)</f>
        <v>58.3</v>
      </c>
      <c r="L389" s="8">
        <f>InputData[[#This Row],[BUYING PRIZE]]*InputData[[#This Row],[QUANTITY]]</f>
        <v>330</v>
      </c>
      <c r="M389" s="8">
        <f>InputData[[#This Row],[SELLING PRICE]]*InputData[[#This Row],[QUANTITY]]*(1-InputData[[#This Row],[DISCOUNT %]])</f>
        <v>349.79999999999995</v>
      </c>
      <c r="N389" s="7">
        <f>DAY(InputData[[#This Row],[DATE]])</f>
        <v>10</v>
      </c>
      <c r="O389" s="7" t="str">
        <f>TEXT(InputData[[#This Row],[DATE]],"MMM")</f>
        <v>Jul</v>
      </c>
      <c r="P389" s="7">
        <f>YEAR(InputData[[#This Row],[DATE]])</f>
        <v>2021</v>
      </c>
    </row>
    <row r="390" spans="1:16" x14ac:dyDescent="0.25">
      <c r="A390" s="3">
        <v>44411</v>
      </c>
      <c r="B390" s="4" t="s">
        <v>77</v>
      </c>
      <c r="C390" s="5">
        <v>12</v>
      </c>
      <c r="D390" s="5" t="s">
        <v>106</v>
      </c>
      <c r="E390" s="5" t="s">
        <v>106</v>
      </c>
      <c r="F390" s="6">
        <v>0</v>
      </c>
      <c r="G390" s="7" t="str">
        <f>VLOOKUP(InputData[[#This Row],[PRODUCT ID]],MasterData[],2,0)</f>
        <v>water cane</v>
      </c>
      <c r="H390" s="7" t="str">
        <f>VLOOKUP(InputData[[#This Row],[PRODUCT ID]],MasterData[],3,0)</f>
        <v>Category04</v>
      </c>
      <c r="I390" s="7" t="str">
        <f>VLOOKUP(InputData[[#This Row],[PRODUCT ID]],MasterData[],4,0)</f>
        <v>Lt</v>
      </c>
      <c r="J390" s="7">
        <f>VLOOKUP(InputData[[#This Row],[PRODUCT ID]],MasterData[],5,0)</f>
        <v>55</v>
      </c>
      <c r="K390" s="8">
        <f>VLOOKUP(InputData[[#This Row],[PRODUCT ID]],MasterData[],6,0)</f>
        <v>58.3</v>
      </c>
      <c r="L390" s="8">
        <f>InputData[[#This Row],[BUYING PRIZE]]*InputData[[#This Row],[QUANTITY]]</f>
        <v>660</v>
      </c>
      <c r="M390" s="8">
        <f>InputData[[#This Row],[SELLING PRICE]]*InputData[[#This Row],[QUANTITY]]*(1-InputData[[#This Row],[DISCOUNT %]])</f>
        <v>699.59999999999991</v>
      </c>
      <c r="N390" s="7">
        <f>DAY(InputData[[#This Row],[DATE]])</f>
        <v>3</v>
      </c>
      <c r="O390" s="7" t="str">
        <f>TEXT(InputData[[#This Row],[DATE]],"MMM")</f>
        <v>Aug</v>
      </c>
      <c r="P390" s="7">
        <f>YEAR(InputData[[#This Row],[DATE]])</f>
        <v>2021</v>
      </c>
    </row>
    <row r="391" spans="1:16" x14ac:dyDescent="0.25">
      <c r="A391" s="3">
        <v>44437</v>
      </c>
      <c r="B391" s="4" t="s">
        <v>77</v>
      </c>
      <c r="C391" s="5">
        <v>12</v>
      </c>
      <c r="D391" s="5" t="s">
        <v>105</v>
      </c>
      <c r="E391" s="5" t="s">
        <v>106</v>
      </c>
      <c r="F391" s="6">
        <v>0</v>
      </c>
      <c r="G391" s="7" t="str">
        <f>VLOOKUP(InputData[[#This Row],[PRODUCT ID]],MasterData[],2,0)</f>
        <v>water cane</v>
      </c>
      <c r="H391" s="7" t="str">
        <f>VLOOKUP(InputData[[#This Row],[PRODUCT ID]],MasterData[],3,0)</f>
        <v>Category04</v>
      </c>
      <c r="I391" s="7" t="str">
        <f>VLOOKUP(InputData[[#This Row],[PRODUCT ID]],MasterData[],4,0)</f>
        <v>Lt</v>
      </c>
      <c r="J391" s="7">
        <f>VLOOKUP(InputData[[#This Row],[PRODUCT ID]],MasterData[],5,0)</f>
        <v>55</v>
      </c>
      <c r="K391" s="8">
        <f>VLOOKUP(InputData[[#This Row],[PRODUCT ID]],MasterData[],6,0)</f>
        <v>58.3</v>
      </c>
      <c r="L391" s="8">
        <f>InputData[[#This Row],[BUYING PRIZE]]*InputData[[#This Row],[QUANTITY]]</f>
        <v>660</v>
      </c>
      <c r="M391" s="8">
        <f>InputData[[#This Row],[SELLING PRICE]]*InputData[[#This Row],[QUANTITY]]*(1-InputData[[#This Row],[DISCOUNT %]])</f>
        <v>699.59999999999991</v>
      </c>
      <c r="N391" s="7">
        <f>DAY(InputData[[#This Row],[DATE]])</f>
        <v>29</v>
      </c>
      <c r="O391" s="7" t="str">
        <f>TEXT(InputData[[#This Row],[DATE]],"MMM")</f>
        <v>Aug</v>
      </c>
      <c r="P391" s="7">
        <f>YEAR(InputData[[#This Row],[DATE]])</f>
        <v>2021</v>
      </c>
    </row>
    <row r="392" spans="1:16" x14ac:dyDescent="0.25">
      <c r="A392" s="3">
        <v>44466</v>
      </c>
      <c r="B392" s="4" t="s">
        <v>77</v>
      </c>
      <c r="C392" s="5">
        <v>1</v>
      </c>
      <c r="D392" s="5" t="s">
        <v>108</v>
      </c>
      <c r="E392" s="5" t="s">
        <v>107</v>
      </c>
      <c r="F392" s="6">
        <v>0</v>
      </c>
      <c r="G392" s="7" t="str">
        <f>VLOOKUP(InputData[[#This Row],[PRODUCT ID]],MasterData[],2,0)</f>
        <v>water cane</v>
      </c>
      <c r="H392" s="7" t="str">
        <f>VLOOKUP(InputData[[#This Row],[PRODUCT ID]],MasterData[],3,0)</f>
        <v>Category04</v>
      </c>
      <c r="I392" s="7" t="str">
        <f>VLOOKUP(InputData[[#This Row],[PRODUCT ID]],MasterData[],4,0)</f>
        <v>Lt</v>
      </c>
      <c r="J392" s="7">
        <f>VLOOKUP(InputData[[#This Row],[PRODUCT ID]],MasterData[],5,0)</f>
        <v>55</v>
      </c>
      <c r="K392" s="8">
        <f>VLOOKUP(InputData[[#This Row],[PRODUCT ID]],MasterData[],6,0)</f>
        <v>58.3</v>
      </c>
      <c r="L392" s="8">
        <f>InputData[[#This Row],[BUYING PRIZE]]*InputData[[#This Row],[QUANTITY]]</f>
        <v>55</v>
      </c>
      <c r="M392" s="8">
        <f>InputData[[#This Row],[SELLING PRICE]]*InputData[[#This Row],[QUANTITY]]*(1-InputData[[#This Row],[DISCOUNT %]])</f>
        <v>58.3</v>
      </c>
      <c r="N392" s="7">
        <f>DAY(InputData[[#This Row],[DATE]])</f>
        <v>27</v>
      </c>
      <c r="O392" s="7" t="str">
        <f>TEXT(InputData[[#This Row],[DATE]],"MMM")</f>
        <v>Sep</v>
      </c>
      <c r="P392" s="7">
        <f>YEAR(InputData[[#This Row],[DATE]])</f>
        <v>2021</v>
      </c>
    </row>
    <row r="393" spans="1:16" x14ac:dyDescent="0.25">
      <c r="A393" s="3">
        <v>44520</v>
      </c>
      <c r="B393" s="4" t="s">
        <v>77</v>
      </c>
      <c r="C393" s="5">
        <v>14</v>
      </c>
      <c r="D393" s="5" t="s">
        <v>106</v>
      </c>
      <c r="E393" s="5" t="s">
        <v>106</v>
      </c>
      <c r="F393" s="6">
        <v>0</v>
      </c>
      <c r="G393" s="7" t="str">
        <f>VLOOKUP(InputData[[#This Row],[PRODUCT ID]],MasterData[],2,0)</f>
        <v>water cane</v>
      </c>
      <c r="H393" s="7" t="str">
        <f>VLOOKUP(InputData[[#This Row],[PRODUCT ID]],MasterData[],3,0)</f>
        <v>Category04</v>
      </c>
      <c r="I393" s="7" t="str">
        <f>VLOOKUP(InputData[[#This Row],[PRODUCT ID]],MasterData[],4,0)</f>
        <v>Lt</v>
      </c>
      <c r="J393" s="7">
        <f>VLOOKUP(InputData[[#This Row],[PRODUCT ID]],MasterData[],5,0)</f>
        <v>55</v>
      </c>
      <c r="K393" s="8">
        <f>VLOOKUP(InputData[[#This Row],[PRODUCT ID]],MasterData[],6,0)</f>
        <v>58.3</v>
      </c>
      <c r="L393" s="8">
        <f>InputData[[#This Row],[BUYING PRIZE]]*InputData[[#This Row],[QUANTITY]]</f>
        <v>770</v>
      </c>
      <c r="M393" s="8">
        <f>InputData[[#This Row],[SELLING PRICE]]*InputData[[#This Row],[QUANTITY]]*(1-InputData[[#This Row],[DISCOUNT %]])</f>
        <v>816.19999999999993</v>
      </c>
      <c r="N393" s="7">
        <f>DAY(InputData[[#This Row],[DATE]])</f>
        <v>20</v>
      </c>
      <c r="O393" s="7" t="str">
        <f>TEXT(InputData[[#This Row],[DATE]],"MMM")</f>
        <v>Nov</v>
      </c>
      <c r="P393" s="7">
        <f>YEAR(InputData[[#This Row],[DATE]])</f>
        <v>2021</v>
      </c>
    </row>
    <row r="394" spans="1:16" x14ac:dyDescent="0.25">
      <c r="A394" s="3">
        <v>44533</v>
      </c>
      <c r="B394" s="4" t="s">
        <v>77</v>
      </c>
      <c r="C394" s="5">
        <v>2</v>
      </c>
      <c r="D394" s="5" t="s">
        <v>106</v>
      </c>
      <c r="E394" s="5" t="s">
        <v>107</v>
      </c>
      <c r="F394" s="6">
        <v>0</v>
      </c>
      <c r="G394" s="7" t="str">
        <f>VLOOKUP(InputData[[#This Row],[PRODUCT ID]],MasterData[],2,0)</f>
        <v>water cane</v>
      </c>
      <c r="H394" s="7" t="str">
        <f>VLOOKUP(InputData[[#This Row],[PRODUCT ID]],MasterData[],3,0)</f>
        <v>Category04</v>
      </c>
      <c r="I394" s="7" t="str">
        <f>VLOOKUP(InputData[[#This Row],[PRODUCT ID]],MasterData[],4,0)</f>
        <v>Lt</v>
      </c>
      <c r="J394" s="7">
        <f>VLOOKUP(InputData[[#This Row],[PRODUCT ID]],MasterData[],5,0)</f>
        <v>55</v>
      </c>
      <c r="K394" s="8">
        <f>VLOOKUP(InputData[[#This Row],[PRODUCT ID]],MasterData[],6,0)</f>
        <v>58.3</v>
      </c>
      <c r="L394" s="8">
        <f>InputData[[#This Row],[BUYING PRIZE]]*InputData[[#This Row],[QUANTITY]]</f>
        <v>110</v>
      </c>
      <c r="M394" s="8">
        <f>InputData[[#This Row],[SELLING PRICE]]*InputData[[#This Row],[QUANTITY]]*(1-InputData[[#This Row],[DISCOUNT %]])</f>
        <v>116.6</v>
      </c>
      <c r="N394" s="7">
        <f>DAY(InputData[[#This Row],[DATE]])</f>
        <v>3</v>
      </c>
      <c r="O394" s="7" t="str">
        <f>TEXT(InputData[[#This Row],[DATE]],"MMM")</f>
        <v>Dec</v>
      </c>
      <c r="P394" s="7">
        <f>YEAR(InputData[[#This Row],[DATE]])</f>
        <v>2021</v>
      </c>
    </row>
    <row r="395" spans="1:16" x14ac:dyDescent="0.25">
      <c r="A395" s="3">
        <v>44571</v>
      </c>
      <c r="B395" s="4" t="s">
        <v>77</v>
      </c>
      <c r="C395" s="5">
        <v>14</v>
      </c>
      <c r="D395" s="5" t="s">
        <v>106</v>
      </c>
      <c r="E395" s="5" t="s">
        <v>106</v>
      </c>
      <c r="F395" s="6">
        <v>0</v>
      </c>
      <c r="G395" s="7" t="str">
        <f>VLOOKUP(InputData[[#This Row],[PRODUCT ID]],MasterData[],2,0)</f>
        <v>water cane</v>
      </c>
      <c r="H395" s="7" t="str">
        <f>VLOOKUP(InputData[[#This Row],[PRODUCT ID]],MasterData[],3,0)</f>
        <v>Category04</v>
      </c>
      <c r="I395" s="7" t="str">
        <f>VLOOKUP(InputData[[#This Row],[PRODUCT ID]],MasterData[],4,0)</f>
        <v>Lt</v>
      </c>
      <c r="J395" s="7">
        <f>VLOOKUP(InputData[[#This Row],[PRODUCT ID]],MasterData[],5,0)</f>
        <v>55</v>
      </c>
      <c r="K395" s="8">
        <f>VLOOKUP(InputData[[#This Row],[PRODUCT ID]],MasterData[],6,0)</f>
        <v>58.3</v>
      </c>
      <c r="L395" s="8">
        <f>InputData[[#This Row],[BUYING PRIZE]]*InputData[[#This Row],[QUANTITY]]</f>
        <v>770</v>
      </c>
      <c r="M395" s="8">
        <f>InputData[[#This Row],[SELLING PRICE]]*InputData[[#This Row],[QUANTITY]]*(1-InputData[[#This Row],[DISCOUNT %]])</f>
        <v>816.19999999999993</v>
      </c>
      <c r="N395" s="7">
        <f>DAY(InputData[[#This Row],[DATE]])</f>
        <v>10</v>
      </c>
      <c r="O395" s="7" t="str">
        <f>TEXT(InputData[[#This Row],[DATE]],"MMM")</f>
        <v>Jan</v>
      </c>
      <c r="P395" s="7">
        <f>YEAR(InputData[[#This Row],[DATE]])</f>
        <v>2022</v>
      </c>
    </row>
    <row r="396" spans="1:16" x14ac:dyDescent="0.25">
      <c r="A396" s="3">
        <v>44675</v>
      </c>
      <c r="B396" s="4" t="s">
        <v>77</v>
      </c>
      <c r="C396" s="5">
        <v>4</v>
      </c>
      <c r="D396" s="5" t="s">
        <v>108</v>
      </c>
      <c r="E396" s="5" t="s">
        <v>106</v>
      </c>
      <c r="F396" s="6">
        <v>0</v>
      </c>
      <c r="G396" s="7" t="str">
        <f>VLOOKUP(InputData[[#This Row],[PRODUCT ID]],MasterData[],2,0)</f>
        <v>water cane</v>
      </c>
      <c r="H396" s="7" t="str">
        <f>VLOOKUP(InputData[[#This Row],[PRODUCT ID]],MasterData[],3,0)</f>
        <v>Category04</v>
      </c>
      <c r="I396" s="7" t="str">
        <f>VLOOKUP(InputData[[#This Row],[PRODUCT ID]],MasterData[],4,0)</f>
        <v>Lt</v>
      </c>
      <c r="J396" s="7">
        <f>VLOOKUP(InputData[[#This Row],[PRODUCT ID]],MasterData[],5,0)</f>
        <v>55</v>
      </c>
      <c r="K396" s="8">
        <f>VLOOKUP(InputData[[#This Row],[PRODUCT ID]],MasterData[],6,0)</f>
        <v>58.3</v>
      </c>
      <c r="L396" s="8">
        <f>InputData[[#This Row],[BUYING PRIZE]]*InputData[[#This Row],[QUANTITY]]</f>
        <v>220</v>
      </c>
      <c r="M396" s="8">
        <f>InputData[[#This Row],[SELLING PRICE]]*InputData[[#This Row],[QUANTITY]]*(1-InputData[[#This Row],[DISCOUNT %]])</f>
        <v>233.2</v>
      </c>
      <c r="N396" s="7">
        <f>DAY(InputData[[#This Row],[DATE]])</f>
        <v>24</v>
      </c>
      <c r="O396" s="7" t="str">
        <f>TEXT(InputData[[#This Row],[DATE]],"MMM")</f>
        <v>Apr</v>
      </c>
      <c r="P396" s="7">
        <f>YEAR(InputData[[#This Row],[DATE]])</f>
        <v>2022</v>
      </c>
    </row>
    <row r="397" spans="1:16" x14ac:dyDescent="0.25">
      <c r="A397" s="3">
        <v>44682</v>
      </c>
      <c r="B397" s="4" t="s">
        <v>77</v>
      </c>
      <c r="C397" s="5">
        <v>9</v>
      </c>
      <c r="D397" s="5" t="s">
        <v>105</v>
      </c>
      <c r="E397" s="5" t="s">
        <v>106</v>
      </c>
      <c r="F397" s="6">
        <v>0</v>
      </c>
      <c r="G397" s="7" t="str">
        <f>VLOOKUP(InputData[[#This Row],[PRODUCT ID]],MasterData[],2,0)</f>
        <v>water cane</v>
      </c>
      <c r="H397" s="7" t="str">
        <f>VLOOKUP(InputData[[#This Row],[PRODUCT ID]],MasterData[],3,0)</f>
        <v>Category04</v>
      </c>
      <c r="I397" s="7" t="str">
        <f>VLOOKUP(InputData[[#This Row],[PRODUCT ID]],MasterData[],4,0)</f>
        <v>Lt</v>
      </c>
      <c r="J397" s="7">
        <f>VLOOKUP(InputData[[#This Row],[PRODUCT ID]],MasterData[],5,0)</f>
        <v>55</v>
      </c>
      <c r="K397" s="8">
        <f>VLOOKUP(InputData[[#This Row],[PRODUCT ID]],MasterData[],6,0)</f>
        <v>58.3</v>
      </c>
      <c r="L397" s="8">
        <f>InputData[[#This Row],[BUYING PRIZE]]*InputData[[#This Row],[QUANTITY]]</f>
        <v>495</v>
      </c>
      <c r="M397" s="8">
        <f>InputData[[#This Row],[SELLING PRICE]]*InputData[[#This Row],[QUANTITY]]*(1-InputData[[#This Row],[DISCOUNT %]])</f>
        <v>524.69999999999993</v>
      </c>
      <c r="N397" s="7">
        <f>DAY(InputData[[#This Row],[DATE]])</f>
        <v>1</v>
      </c>
      <c r="O397" s="7" t="str">
        <f>TEXT(InputData[[#This Row],[DATE]],"MMM")</f>
        <v>May</v>
      </c>
      <c r="P397" s="7">
        <f>YEAR(InputData[[#This Row],[DATE]])</f>
        <v>2022</v>
      </c>
    </row>
    <row r="398" spans="1:16" x14ac:dyDescent="0.25">
      <c r="A398" s="3">
        <v>44687</v>
      </c>
      <c r="B398" s="4" t="s">
        <v>77</v>
      </c>
      <c r="C398" s="5">
        <v>7</v>
      </c>
      <c r="D398" s="5" t="s">
        <v>108</v>
      </c>
      <c r="E398" s="5" t="s">
        <v>106</v>
      </c>
      <c r="F398" s="6">
        <v>0</v>
      </c>
      <c r="G398" s="7" t="str">
        <f>VLOOKUP(InputData[[#This Row],[PRODUCT ID]],MasterData[],2,0)</f>
        <v>water cane</v>
      </c>
      <c r="H398" s="7" t="str">
        <f>VLOOKUP(InputData[[#This Row],[PRODUCT ID]],MasterData[],3,0)</f>
        <v>Category04</v>
      </c>
      <c r="I398" s="7" t="str">
        <f>VLOOKUP(InputData[[#This Row],[PRODUCT ID]],MasterData[],4,0)</f>
        <v>Lt</v>
      </c>
      <c r="J398" s="7">
        <f>VLOOKUP(InputData[[#This Row],[PRODUCT ID]],MasterData[],5,0)</f>
        <v>55</v>
      </c>
      <c r="K398" s="8">
        <f>VLOOKUP(InputData[[#This Row],[PRODUCT ID]],MasterData[],6,0)</f>
        <v>58.3</v>
      </c>
      <c r="L398" s="8">
        <f>InputData[[#This Row],[BUYING PRIZE]]*InputData[[#This Row],[QUANTITY]]</f>
        <v>385</v>
      </c>
      <c r="M398" s="8">
        <f>InputData[[#This Row],[SELLING PRICE]]*InputData[[#This Row],[QUANTITY]]*(1-InputData[[#This Row],[DISCOUNT %]])</f>
        <v>408.09999999999997</v>
      </c>
      <c r="N398" s="7">
        <f>DAY(InputData[[#This Row],[DATE]])</f>
        <v>6</v>
      </c>
      <c r="O398" s="7" t="str">
        <f>TEXT(InputData[[#This Row],[DATE]],"MMM")</f>
        <v>May</v>
      </c>
      <c r="P398" s="7">
        <f>YEAR(InputData[[#This Row],[DATE]])</f>
        <v>2022</v>
      </c>
    </row>
    <row r="399" spans="1:16" x14ac:dyDescent="0.25">
      <c r="A399" s="3">
        <v>44738</v>
      </c>
      <c r="B399" s="4" t="s">
        <v>77</v>
      </c>
      <c r="C399" s="5">
        <v>4</v>
      </c>
      <c r="D399" s="5" t="s">
        <v>108</v>
      </c>
      <c r="E399" s="5" t="s">
        <v>107</v>
      </c>
      <c r="F399" s="6">
        <v>0</v>
      </c>
      <c r="G399" s="7" t="str">
        <f>VLOOKUP(InputData[[#This Row],[PRODUCT ID]],MasterData[],2,0)</f>
        <v>water cane</v>
      </c>
      <c r="H399" s="7" t="str">
        <f>VLOOKUP(InputData[[#This Row],[PRODUCT ID]],MasterData[],3,0)</f>
        <v>Category04</v>
      </c>
      <c r="I399" s="7" t="str">
        <f>VLOOKUP(InputData[[#This Row],[PRODUCT ID]],MasterData[],4,0)</f>
        <v>Lt</v>
      </c>
      <c r="J399" s="7">
        <f>VLOOKUP(InputData[[#This Row],[PRODUCT ID]],MasterData[],5,0)</f>
        <v>55</v>
      </c>
      <c r="K399" s="8">
        <f>VLOOKUP(InputData[[#This Row],[PRODUCT ID]],MasterData[],6,0)</f>
        <v>58.3</v>
      </c>
      <c r="L399" s="8">
        <f>InputData[[#This Row],[BUYING PRIZE]]*InputData[[#This Row],[QUANTITY]]</f>
        <v>220</v>
      </c>
      <c r="M399" s="8">
        <f>InputData[[#This Row],[SELLING PRICE]]*InputData[[#This Row],[QUANTITY]]*(1-InputData[[#This Row],[DISCOUNT %]])</f>
        <v>233.2</v>
      </c>
      <c r="N399" s="7">
        <f>DAY(InputData[[#This Row],[DATE]])</f>
        <v>26</v>
      </c>
      <c r="O399" s="7" t="str">
        <f>TEXT(InputData[[#This Row],[DATE]],"MMM")</f>
        <v>Jun</v>
      </c>
      <c r="P399" s="7">
        <f>YEAR(InputData[[#This Row],[DATE]])</f>
        <v>2022</v>
      </c>
    </row>
    <row r="400" spans="1:16" x14ac:dyDescent="0.25">
      <c r="A400" s="3">
        <v>44764</v>
      </c>
      <c r="B400" s="4" t="s">
        <v>77</v>
      </c>
      <c r="C400" s="5">
        <v>6</v>
      </c>
      <c r="D400" s="5" t="s">
        <v>108</v>
      </c>
      <c r="E400" s="5" t="s">
        <v>107</v>
      </c>
      <c r="F400" s="6">
        <v>0</v>
      </c>
      <c r="G400" s="7" t="str">
        <f>VLOOKUP(InputData[[#This Row],[PRODUCT ID]],MasterData[],2,0)</f>
        <v>water cane</v>
      </c>
      <c r="H400" s="7" t="str">
        <f>VLOOKUP(InputData[[#This Row],[PRODUCT ID]],MasterData[],3,0)</f>
        <v>Category04</v>
      </c>
      <c r="I400" s="7" t="str">
        <f>VLOOKUP(InputData[[#This Row],[PRODUCT ID]],MasterData[],4,0)</f>
        <v>Lt</v>
      </c>
      <c r="J400" s="7">
        <f>VLOOKUP(InputData[[#This Row],[PRODUCT ID]],MasterData[],5,0)</f>
        <v>55</v>
      </c>
      <c r="K400" s="8">
        <f>VLOOKUP(InputData[[#This Row],[PRODUCT ID]],MasterData[],6,0)</f>
        <v>58.3</v>
      </c>
      <c r="L400" s="8">
        <f>InputData[[#This Row],[BUYING PRIZE]]*InputData[[#This Row],[QUANTITY]]</f>
        <v>330</v>
      </c>
      <c r="M400" s="8">
        <f>InputData[[#This Row],[SELLING PRICE]]*InputData[[#This Row],[QUANTITY]]*(1-InputData[[#This Row],[DISCOUNT %]])</f>
        <v>349.79999999999995</v>
      </c>
      <c r="N400" s="7">
        <f>DAY(InputData[[#This Row],[DATE]])</f>
        <v>22</v>
      </c>
      <c r="O400" s="7" t="str">
        <f>TEXT(InputData[[#This Row],[DATE]],"MMM")</f>
        <v>Jul</v>
      </c>
      <c r="P400" s="7">
        <f>YEAR(InputData[[#This Row],[DATE]])</f>
        <v>2022</v>
      </c>
    </row>
    <row r="401" spans="1:16" x14ac:dyDescent="0.25">
      <c r="A401" s="3">
        <v>44833</v>
      </c>
      <c r="B401" s="4" t="s">
        <v>77</v>
      </c>
      <c r="C401" s="5">
        <v>13</v>
      </c>
      <c r="D401" s="5" t="s">
        <v>108</v>
      </c>
      <c r="E401" s="5" t="s">
        <v>106</v>
      </c>
      <c r="F401" s="6">
        <v>0</v>
      </c>
      <c r="G401" s="7" t="str">
        <f>VLOOKUP(InputData[[#This Row],[PRODUCT ID]],MasterData[],2,0)</f>
        <v>water cane</v>
      </c>
      <c r="H401" s="7" t="str">
        <f>VLOOKUP(InputData[[#This Row],[PRODUCT ID]],MasterData[],3,0)</f>
        <v>Category04</v>
      </c>
      <c r="I401" s="7" t="str">
        <f>VLOOKUP(InputData[[#This Row],[PRODUCT ID]],MasterData[],4,0)</f>
        <v>Lt</v>
      </c>
      <c r="J401" s="7">
        <f>VLOOKUP(InputData[[#This Row],[PRODUCT ID]],MasterData[],5,0)</f>
        <v>55</v>
      </c>
      <c r="K401" s="8">
        <f>VLOOKUP(InputData[[#This Row],[PRODUCT ID]],MasterData[],6,0)</f>
        <v>58.3</v>
      </c>
      <c r="L401" s="8">
        <f>InputData[[#This Row],[BUYING PRIZE]]*InputData[[#This Row],[QUANTITY]]</f>
        <v>715</v>
      </c>
      <c r="M401" s="8">
        <f>InputData[[#This Row],[SELLING PRICE]]*InputData[[#This Row],[QUANTITY]]*(1-InputData[[#This Row],[DISCOUNT %]])</f>
        <v>757.9</v>
      </c>
      <c r="N401" s="7">
        <f>DAY(InputData[[#This Row],[DATE]])</f>
        <v>29</v>
      </c>
      <c r="O401" s="7" t="str">
        <f>TEXT(InputData[[#This Row],[DATE]],"MMM")</f>
        <v>Sep</v>
      </c>
      <c r="P401" s="7">
        <f>YEAR(InputData[[#This Row],[DATE]])</f>
        <v>2022</v>
      </c>
    </row>
    <row r="402" spans="1:16" x14ac:dyDescent="0.25">
      <c r="A402" s="3">
        <v>44883</v>
      </c>
      <c r="B402" s="4" t="s">
        <v>77</v>
      </c>
      <c r="C402" s="5">
        <v>8</v>
      </c>
      <c r="D402" s="5" t="s">
        <v>108</v>
      </c>
      <c r="E402" s="5" t="s">
        <v>107</v>
      </c>
      <c r="F402" s="6">
        <v>0</v>
      </c>
      <c r="G402" s="7" t="str">
        <f>VLOOKUP(InputData[[#This Row],[PRODUCT ID]],MasterData[],2,0)</f>
        <v>water cane</v>
      </c>
      <c r="H402" s="7" t="str">
        <f>VLOOKUP(InputData[[#This Row],[PRODUCT ID]],MasterData[],3,0)</f>
        <v>Category04</v>
      </c>
      <c r="I402" s="7" t="str">
        <f>VLOOKUP(InputData[[#This Row],[PRODUCT ID]],MasterData[],4,0)</f>
        <v>Lt</v>
      </c>
      <c r="J402" s="7">
        <f>VLOOKUP(InputData[[#This Row],[PRODUCT ID]],MasterData[],5,0)</f>
        <v>55</v>
      </c>
      <c r="K402" s="8">
        <f>VLOOKUP(InputData[[#This Row],[PRODUCT ID]],MasterData[],6,0)</f>
        <v>58.3</v>
      </c>
      <c r="L402" s="8">
        <f>InputData[[#This Row],[BUYING PRIZE]]*InputData[[#This Row],[QUANTITY]]</f>
        <v>440</v>
      </c>
      <c r="M402" s="8">
        <f>InputData[[#This Row],[SELLING PRICE]]*InputData[[#This Row],[QUANTITY]]*(1-InputData[[#This Row],[DISCOUNT %]])</f>
        <v>466.4</v>
      </c>
      <c r="N402" s="7">
        <f>DAY(InputData[[#This Row],[DATE]])</f>
        <v>18</v>
      </c>
      <c r="O402" s="7" t="str">
        <f>TEXT(InputData[[#This Row],[DATE]],"MMM")</f>
        <v>Nov</v>
      </c>
      <c r="P402" s="7">
        <f>YEAR(InputData[[#This Row],[DATE]])</f>
        <v>2022</v>
      </c>
    </row>
    <row r="403" spans="1:16" x14ac:dyDescent="0.25">
      <c r="A403" s="3">
        <v>44892</v>
      </c>
      <c r="B403" s="4" t="s">
        <v>77</v>
      </c>
      <c r="C403" s="5">
        <v>15</v>
      </c>
      <c r="D403" s="5" t="s">
        <v>108</v>
      </c>
      <c r="E403" s="5" t="s">
        <v>106</v>
      </c>
      <c r="F403" s="6">
        <v>0</v>
      </c>
      <c r="G403" s="7" t="str">
        <f>VLOOKUP(InputData[[#This Row],[PRODUCT ID]],MasterData[],2,0)</f>
        <v>water cane</v>
      </c>
      <c r="H403" s="7" t="str">
        <f>VLOOKUP(InputData[[#This Row],[PRODUCT ID]],MasterData[],3,0)</f>
        <v>Category04</v>
      </c>
      <c r="I403" s="7" t="str">
        <f>VLOOKUP(InputData[[#This Row],[PRODUCT ID]],MasterData[],4,0)</f>
        <v>Lt</v>
      </c>
      <c r="J403" s="7">
        <f>VLOOKUP(InputData[[#This Row],[PRODUCT ID]],MasterData[],5,0)</f>
        <v>55</v>
      </c>
      <c r="K403" s="8">
        <f>VLOOKUP(InputData[[#This Row],[PRODUCT ID]],MasterData[],6,0)</f>
        <v>58.3</v>
      </c>
      <c r="L403" s="8">
        <f>InputData[[#This Row],[BUYING PRIZE]]*InputData[[#This Row],[QUANTITY]]</f>
        <v>825</v>
      </c>
      <c r="M403" s="8">
        <f>InputData[[#This Row],[SELLING PRICE]]*InputData[[#This Row],[QUANTITY]]*(1-InputData[[#This Row],[DISCOUNT %]])</f>
        <v>874.5</v>
      </c>
      <c r="N403" s="7">
        <f>DAY(InputData[[#This Row],[DATE]])</f>
        <v>27</v>
      </c>
      <c r="O403" s="7" t="str">
        <f>TEXT(InputData[[#This Row],[DATE]],"MMM")</f>
        <v>Nov</v>
      </c>
      <c r="P403" s="7">
        <f>YEAR(InputData[[#This Row],[DATE]])</f>
        <v>2022</v>
      </c>
    </row>
    <row r="404" spans="1:16" x14ac:dyDescent="0.25">
      <c r="A404" s="3">
        <v>44200</v>
      </c>
      <c r="B404" s="4" t="s">
        <v>79</v>
      </c>
      <c r="C404" s="5">
        <v>12</v>
      </c>
      <c r="D404" s="5" t="s">
        <v>106</v>
      </c>
      <c r="E404" s="5" t="s">
        <v>106</v>
      </c>
      <c r="F404" s="6">
        <v>0</v>
      </c>
      <c r="G404" s="7" t="str">
        <f>VLOOKUP(InputData[[#This Row],[PRODUCT ID]],MasterData[],2,0)</f>
        <v>bun</v>
      </c>
      <c r="H404" s="7" t="str">
        <f>VLOOKUP(InputData[[#This Row],[PRODUCT ID]],MasterData[],3,0)</f>
        <v>Category04</v>
      </c>
      <c r="I404" s="7" t="str">
        <f>VLOOKUP(InputData[[#This Row],[PRODUCT ID]],MasterData[],4,0)</f>
        <v>No.</v>
      </c>
      <c r="J404" s="7">
        <f>VLOOKUP(InputData[[#This Row],[PRODUCT ID]],MasterData[],5,0)</f>
        <v>5</v>
      </c>
      <c r="K404" s="8">
        <f>VLOOKUP(InputData[[#This Row],[PRODUCT ID]],MasterData[],6,0)</f>
        <v>6.7</v>
      </c>
      <c r="L404" s="8">
        <f>InputData[[#This Row],[BUYING PRIZE]]*InputData[[#This Row],[QUANTITY]]</f>
        <v>60</v>
      </c>
      <c r="M404" s="8">
        <f>InputData[[#This Row],[SELLING PRICE]]*InputData[[#This Row],[QUANTITY]]*(1-InputData[[#This Row],[DISCOUNT %]])</f>
        <v>80.400000000000006</v>
      </c>
      <c r="N404" s="7">
        <f>DAY(InputData[[#This Row],[DATE]])</f>
        <v>4</v>
      </c>
      <c r="O404" s="7" t="str">
        <f>TEXT(InputData[[#This Row],[DATE]],"MMM")</f>
        <v>Jan</v>
      </c>
      <c r="P404" s="7">
        <f>YEAR(InputData[[#This Row],[DATE]])</f>
        <v>2021</v>
      </c>
    </row>
    <row r="405" spans="1:16" x14ac:dyDescent="0.25">
      <c r="A405" s="3">
        <v>44215</v>
      </c>
      <c r="B405" s="4" t="s">
        <v>79</v>
      </c>
      <c r="C405" s="5">
        <v>6</v>
      </c>
      <c r="D405" s="5" t="s">
        <v>108</v>
      </c>
      <c r="E405" s="5" t="s">
        <v>107</v>
      </c>
      <c r="F405" s="6">
        <v>0</v>
      </c>
      <c r="G405" s="7" t="str">
        <f>VLOOKUP(InputData[[#This Row],[PRODUCT ID]],MasterData[],2,0)</f>
        <v>bun</v>
      </c>
      <c r="H405" s="7" t="str">
        <f>VLOOKUP(InputData[[#This Row],[PRODUCT ID]],MasterData[],3,0)</f>
        <v>Category04</v>
      </c>
      <c r="I405" s="7" t="str">
        <f>VLOOKUP(InputData[[#This Row],[PRODUCT ID]],MasterData[],4,0)</f>
        <v>No.</v>
      </c>
      <c r="J405" s="7">
        <f>VLOOKUP(InputData[[#This Row],[PRODUCT ID]],MasterData[],5,0)</f>
        <v>5</v>
      </c>
      <c r="K405" s="8">
        <f>VLOOKUP(InputData[[#This Row],[PRODUCT ID]],MasterData[],6,0)</f>
        <v>6.7</v>
      </c>
      <c r="L405" s="8">
        <f>InputData[[#This Row],[BUYING PRIZE]]*InputData[[#This Row],[QUANTITY]]</f>
        <v>30</v>
      </c>
      <c r="M405" s="8">
        <f>InputData[[#This Row],[SELLING PRICE]]*InputData[[#This Row],[QUANTITY]]*(1-InputData[[#This Row],[DISCOUNT %]])</f>
        <v>40.200000000000003</v>
      </c>
      <c r="N405" s="7">
        <f>DAY(InputData[[#This Row],[DATE]])</f>
        <v>19</v>
      </c>
      <c r="O405" s="7" t="str">
        <f>TEXT(InputData[[#This Row],[DATE]],"MMM")</f>
        <v>Jan</v>
      </c>
      <c r="P405" s="7">
        <f>YEAR(InputData[[#This Row],[DATE]])</f>
        <v>2021</v>
      </c>
    </row>
    <row r="406" spans="1:16" x14ac:dyDescent="0.25">
      <c r="A406" s="3">
        <v>44221</v>
      </c>
      <c r="B406" s="4" t="s">
        <v>79</v>
      </c>
      <c r="C406" s="5">
        <v>7</v>
      </c>
      <c r="D406" s="5" t="s">
        <v>108</v>
      </c>
      <c r="E406" s="5" t="s">
        <v>106</v>
      </c>
      <c r="F406" s="6">
        <v>0</v>
      </c>
      <c r="G406" s="7" t="str">
        <f>VLOOKUP(InputData[[#This Row],[PRODUCT ID]],MasterData[],2,0)</f>
        <v>bun</v>
      </c>
      <c r="H406" s="7" t="str">
        <f>VLOOKUP(InputData[[#This Row],[PRODUCT ID]],MasterData[],3,0)</f>
        <v>Category04</v>
      </c>
      <c r="I406" s="7" t="str">
        <f>VLOOKUP(InputData[[#This Row],[PRODUCT ID]],MasterData[],4,0)</f>
        <v>No.</v>
      </c>
      <c r="J406" s="7">
        <f>VLOOKUP(InputData[[#This Row],[PRODUCT ID]],MasterData[],5,0)</f>
        <v>5</v>
      </c>
      <c r="K406" s="8">
        <f>VLOOKUP(InputData[[#This Row],[PRODUCT ID]],MasterData[],6,0)</f>
        <v>6.7</v>
      </c>
      <c r="L406" s="8">
        <f>InputData[[#This Row],[BUYING PRIZE]]*InputData[[#This Row],[QUANTITY]]</f>
        <v>35</v>
      </c>
      <c r="M406" s="8">
        <f>InputData[[#This Row],[SELLING PRICE]]*InputData[[#This Row],[QUANTITY]]*(1-InputData[[#This Row],[DISCOUNT %]])</f>
        <v>46.9</v>
      </c>
      <c r="N406" s="7">
        <f>DAY(InputData[[#This Row],[DATE]])</f>
        <v>25</v>
      </c>
      <c r="O406" s="7" t="str">
        <f>TEXT(InputData[[#This Row],[DATE]],"MMM")</f>
        <v>Jan</v>
      </c>
      <c r="P406" s="7">
        <f>YEAR(InputData[[#This Row],[DATE]])</f>
        <v>2021</v>
      </c>
    </row>
    <row r="407" spans="1:16" x14ac:dyDescent="0.25">
      <c r="A407" s="3">
        <v>44233</v>
      </c>
      <c r="B407" s="4" t="s">
        <v>79</v>
      </c>
      <c r="C407" s="5">
        <v>1</v>
      </c>
      <c r="D407" s="5" t="s">
        <v>108</v>
      </c>
      <c r="E407" s="5" t="s">
        <v>107</v>
      </c>
      <c r="F407" s="6">
        <v>0</v>
      </c>
      <c r="G407" s="7" t="str">
        <f>VLOOKUP(InputData[[#This Row],[PRODUCT ID]],MasterData[],2,0)</f>
        <v>bun</v>
      </c>
      <c r="H407" s="7" t="str">
        <f>VLOOKUP(InputData[[#This Row],[PRODUCT ID]],MasterData[],3,0)</f>
        <v>Category04</v>
      </c>
      <c r="I407" s="7" t="str">
        <f>VLOOKUP(InputData[[#This Row],[PRODUCT ID]],MasterData[],4,0)</f>
        <v>No.</v>
      </c>
      <c r="J407" s="7">
        <f>VLOOKUP(InputData[[#This Row],[PRODUCT ID]],MasterData[],5,0)</f>
        <v>5</v>
      </c>
      <c r="K407" s="8">
        <f>VLOOKUP(InputData[[#This Row],[PRODUCT ID]],MasterData[],6,0)</f>
        <v>6.7</v>
      </c>
      <c r="L407" s="8">
        <f>InputData[[#This Row],[BUYING PRIZE]]*InputData[[#This Row],[QUANTITY]]</f>
        <v>5</v>
      </c>
      <c r="M407" s="8">
        <f>InputData[[#This Row],[SELLING PRICE]]*InputData[[#This Row],[QUANTITY]]*(1-InputData[[#This Row],[DISCOUNT %]])</f>
        <v>6.7</v>
      </c>
      <c r="N407" s="7">
        <f>DAY(InputData[[#This Row],[DATE]])</f>
        <v>6</v>
      </c>
      <c r="O407" s="7" t="str">
        <f>TEXT(InputData[[#This Row],[DATE]],"MMM")</f>
        <v>Feb</v>
      </c>
      <c r="P407" s="7">
        <f>YEAR(InputData[[#This Row],[DATE]])</f>
        <v>2021</v>
      </c>
    </row>
    <row r="408" spans="1:16" x14ac:dyDescent="0.25">
      <c r="A408" s="3">
        <v>44328</v>
      </c>
      <c r="B408" s="4" t="s">
        <v>79</v>
      </c>
      <c r="C408" s="5">
        <v>15</v>
      </c>
      <c r="D408" s="5" t="s">
        <v>108</v>
      </c>
      <c r="E408" s="5" t="s">
        <v>106</v>
      </c>
      <c r="F408" s="6">
        <v>0</v>
      </c>
      <c r="G408" s="7" t="str">
        <f>VLOOKUP(InputData[[#This Row],[PRODUCT ID]],MasterData[],2,0)</f>
        <v>bun</v>
      </c>
      <c r="H408" s="7" t="str">
        <f>VLOOKUP(InputData[[#This Row],[PRODUCT ID]],MasterData[],3,0)</f>
        <v>Category04</v>
      </c>
      <c r="I408" s="7" t="str">
        <f>VLOOKUP(InputData[[#This Row],[PRODUCT ID]],MasterData[],4,0)</f>
        <v>No.</v>
      </c>
      <c r="J408" s="7">
        <f>VLOOKUP(InputData[[#This Row],[PRODUCT ID]],MasterData[],5,0)</f>
        <v>5</v>
      </c>
      <c r="K408" s="8">
        <f>VLOOKUP(InputData[[#This Row],[PRODUCT ID]],MasterData[],6,0)</f>
        <v>6.7</v>
      </c>
      <c r="L408" s="8">
        <f>InputData[[#This Row],[BUYING PRIZE]]*InputData[[#This Row],[QUANTITY]]</f>
        <v>75</v>
      </c>
      <c r="M408" s="8">
        <f>InputData[[#This Row],[SELLING PRICE]]*InputData[[#This Row],[QUANTITY]]*(1-InputData[[#This Row],[DISCOUNT %]])</f>
        <v>100.5</v>
      </c>
      <c r="N408" s="7">
        <f>DAY(InputData[[#This Row],[DATE]])</f>
        <v>12</v>
      </c>
      <c r="O408" s="7" t="str">
        <f>TEXT(InputData[[#This Row],[DATE]],"MMM")</f>
        <v>May</v>
      </c>
      <c r="P408" s="7">
        <f>YEAR(InputData[[#This Row],[DATE]])</f>
        <v>2021</v>
      </c>
    </row>
    <row r="409" spans="1:16" x14ac:dyDescent="0.25">
      <c r="A409" s="3">
        <v>44352</v>
      </c>
      <c r="B409" s="4" t="s">
        <v>79</v>
      </c>
      <c r="C409" s="5">
        <v>10</v>
      </c>
      <c r="D409" s="5" t="s">
        <v>108</v>
      </c>
      <c r="E409" s="5" t="s">
        <v>106</v>
      </c>
      <c r="F409" s="6">
        <v>0</v>
      </c>
      <c r="G409" s="7" t="str">
        <f>VLOOKUP(InputData[[#This Row],[PRODUCT ID]],MasterData[],2,0)</f>
        <v>bun</v>
      </c>
      <c r="H409" s="7" t="str">
        <f>VLOOKUP(InputData[[#This Row],[PRODUCT ID]],MasterData[],3,0)</f>
        <v>Category04</v>
      </c>
      <c r="I409" s="7" t="str">
        <f>VLOOKUP(InputData[[#This Row],[PRODUCT ID]],MasterData[],4,0)</f>
        <v>No.</v>
      </c>
      <c r="J409" s="7">
        <f>VLOOKUP(InputData[[#This Row],[PRODUCT ID]],MasterData[],5,0)</f>
        <v>5</v>
      </c>
      <c r="K409" s="8">
        <f>VLOOKUP(InputData[[#This Row],[PRODUCT ID]],MasterData[],6,0)</f>
        <v>6.7</v>
      </c>
      <c r="L409" s="8">
        <f>InputData[[#This Row],[BUYING PRIZE]]*InputData[[#This Row],[QUANTITY]]</f>
        <v>50</v>
      </c>
      <c r="M409" s="8">
        <f>InputData[[#This Row],[SELLING PRICE]]*InputData[[#This Row],[QUANTITY]]*(1-InputData[[#This Row],[DISCOUNT %]])</f>
        <v>67</v>
      </c>
      <c r="N409" s="7">
        <f>DAY(InputData[[#This Row],[DATE]])</f>
        <v>5</v>
      </c>
      <c r="O409" s="7" t="str">
        <f>TEXT(InputData[[#This Row],[DATE]],"MMM")</f>
        <v>Jun</v>
      </c>
      <c r="P409" s="7">
        <f>YEAR(InputData[[#This Row],[DATE]])</f>
        <v>2021</v>
      </c>
    </row>
    <row r="410" spans="1:16" x14ac:dyDescent="0.25">
      <c r="A410" s="3">
        <v>44375</v>
      </c>
      <c r="B410" s="4" t="s">
        <v>79</v>
      </c>
      <c r="C410" s="5">
        <v>7</v>
      </c>
      <c r="D410" s="5" t="s">
        <v>106</v>
      </c>
      <c r="E410" s="5" t="s">
        <v>106</v>
      </c>
      <c r="F410" s="6">
        <v>0</v>
      </c>
      <c r="G410" s="7" t="str">
        <f>VLOOKUP(InputData[[#This Row],[PRODUCT ID]],MasterData[],2,0)</f>
        <v>bun</v>
      </c>
      <c r="H410" s="7" t="str">
        <f>VLOOKUP(InputData[[#This Row],[PRODUCT ID]],MasterData[],3,0)</f>
        <v>Category04</v>
      </c>
      <c r="I410" s="7" t="str">
        <f>VLOOKUP(InputData[[#This Row],[PRODUCT ID]],MasterData[],4,0)</f>
        <v>No.</v>
      </c>
      <c r="J410" s="7">
        <f>VLOOKUP(InputData[[#This Row],[PRODUCT ID]],MasterData[],5,0)</f>
        <v>5</v>
      </c>
      <c r="K410" s="8">
        <f>VLOOKUP(InputData[[#This Row],[PRODUCT ID]],MasterData[],6,0)</f>
        <v>6.7</v>
      </c>
      <c r="L410" s="8">
        <f>InputData[[#This Row],[BUYING PRIZE]]*InputData[[#This Row],[QUANTITY]]</f>
        <v>35</v>
      </c>
      <c r="M410" s="8">
        <f>InputData[[#This Row],[SELLING PRICE]]*InputData[[#This Row],[QUANTITY]]*(1-InputData[[#This Row],[DISCOUNT %]])</f>
        <v>46.9</v>
      </c>
      <c r="N410" s="7">
        <f>DAY(InputData[[#This Row],[DATE]])</f>
        <v>28</v>
      </c>
      <c r="O410" s="7" t="str">
        <f>TEXT(InputData[[#This Row],[DATE]],"MMM")</f>
        <v>Jun</v>
      </c>
      <c r="P410" s="7">
        <f>YEAR(InputData[[#This Row],[DATE]])</f>
        <v>2021</v>
      </c>
    </row>
    <row r="411" spans="1:16" x14ac:dyDescent="0.25">
      <c r="A411" s="3">
        <v>44439</v>
      </c>
      <c r="B411" s="4" t="s">
        <v>79</v>
      </c>
      <c r="C411" s="5">
        <v>11</v>
      </c>
      <c r="D411" s="5" t="s">
        <v>108</v>
      </c>
      <c r="E411" s="5" t="s">
        <v>106</v>
      </c>
      <c r="F411" s="6">
        <v>0</v>
      </c>
      <c r="G411" s="7" t="str">
        <f>VLOOKUP(InputData[[#This Row],[PRODUCT ID]],MasterData[],2,0)</f>
        <v>bun</v>
      </c>
      <c r="H411" s="7" t="str">
        <f>VLOOKUP(InputData[[#This Row],[PRODUCT ID]],MasterData[],3,0)</f>
        <v>Category04</v>
      </c>
      <c r="I411" s="7" t="str">
        <f>VLOOKUP(InputData[[#This Row],[PRODUCT ID]],MasterData[],4,0)</f>
        <v>No.</v>
      </c>
      <c r="J411" s="7">
        <f>VLOOKUP(InputData[[#This Row],[PRODUCT ID]],MasterData[],5,0)</f>
        <v>5</v>
      </c>
      <c r="K411" s="8">
        <f>VLOOKUP(InputData[[#This Row],[PRODUCT ID]],MasterData[],6,0)</f>
        <v>6.7</v>
      </c>
      <c r="L411" s="8">
        <f>InputData[[#This Row],[BUYING PRIZE]]*InputData[[#This Row],[QUANTITY]]</f>
        <v>55</v>
      </c>
      <c r="M411" s="8">
        <f>InputData[[#This Row],[SELLING PRICE]]*InputData[[#This Row],[QUANTITY]]*(1-InputData[[#This Row],[DISCOUNT %]])</f>
        <v>73.7</v>
      </c>
      <c r="N411" s="7">
        <f>DAY(InputData[[#This Row],[DATE]])</f>
        <v>31</v>
      </c>
      <c r="O411" s="7" t="str">
        <f>TEXT(InputData[[#This Row],[DATE]],"MMM")</f>
        <v>Aug</v>
      </c>
      <c r="P411" s="7">
        <f>YEAR(InputData[[#This Row],[DATE]])</f>
        <v>2021</v>
      </c>
    </row>
    <row r="412" spans="1:16" x14ac:dyDescent="0.25">
      <c r="A412" s="3">
        <v>44475</v>
      </c>
      <c r="B412" s="4" t="s">
        <v>79</v>
      </c>
      <c r="C412" s="5">
        <v>1</v>
      </c>
      <c r="D412" s="5" t="s">
        <v>108</v>
      </c>
      <c r="E412" s="5" t="s">
        <v>106</v>
      </c>
      <c r="F412" s="6">
        <v>0</v>
      </c>
      <c r="G412" s="7" t="str">
        <f>VLOOKUP(InputData[[#This Row],[PRODUCT ID]],MasterData[],2,0)</f>
        <v>bun</v>
      </c>
      <c r="H412" s="7" t="str">
        <f>VLOOKUP(InputData[[#This Row],[PRODUCT ID]],MasterData[],3,0)</f>
        <v>Category04</v>
      </c>
      <c r="I412" s="7" t="str">
        <f>VLOOKUP(InputData[[#This Row],[PRODUCT ID]],MasterData[],4,0)</f>
        <v>No.</v>
      </c>
      <c r="J412" s="7">
        <f>VLOOKUP(InputData[[#This Row],[PRODUCT ID]],MasterData[],5,0)</f>
        <v>5</v>
      </c>
      <c r="K412" s="8">
        <f>VLOOKUP(InputData[[#This Row],[PRODUCT ID]],MasterData[],6,0)</f>
        <v>6.7</v>
      </c>
      <c r="L412" s="8">
        <f>InputData[[#This Row],[BUYING PRIZE]]*InputData[[#This Row],[QUANTITY]]</f>
        <v>5</v>
      </c>
      <c r="M412" s="8">
        <f>InputData[[#This Row],[SELLING PRICE]]*InputData[[#This Row],[QUANTITY]]*(1-InputData[[#This Row],[DISCOUNT %]])</f>
        <v>6.7</v>
      </c>
      <c r="N412" s="7">
        <f>DAY(InputData[[#This Row],[DATE]])</f>
        <v>6</v>
      </c>
      <c r="O412" s="7" t="str">
        <f>TEXT(InputData[[#This Row],[DATE]],"MMM")</f>
        <v>Oct</v>
      </c>
      <c r="P412" s="7">
        <f>YEAR(InputData[[#This Row],[DATE]])</f>
        <v>2021</v>
      </c>
    </row>
    <row r="413" spans="1:16" x14ac:dyDescent="0.25">
      <c r="A413" s="3">
        <v>44479</v>
      </c>
      <c r="B413" s="4" t="s">
        <v>79</v>
      </c>
      <c r="C413" s="5">
        <v>14</v>
      </c>
      <c r="D413" s="5" t="s">
        <v>108</v>
      </c>
      <c r="E413" s="5" t="s">
        <v>107</v>
      </c>
      <c r="F413" s="6">
        <v>0</v>
      </c>
      <c r="G413" s="7" t="str">
        <f>VLOOKUP(InputData[[#This Row],[PRODUCT ID]],MasterData[],2,0)</f>
        <v>bun</v>
      </c>
      <c r="H413" s="7" t="str">
        <f>VLOOKUP(InputData[[#This Row],[PRODUCT ID]],MasterData[],3,0)</f>
        <v>Category04</v>
      </c>
      <c r="I413" s="7" t="str">
        <f>VLOOKUP(InputData[[#This Row],[PRODUCT ID]],MasterData[],4,0)</f>
        <v>No.</v>
      </c>
      <c r="J413" s="7">
        <f>VLOOKUP(InputData[[#This Row],[PRODUCT ID]],MasterData[],5,0)</f>
        <v>5</v>
      </c>
      <c r="K413" s="8">
        <f>VLOOKUP(InputData[[#This Row],[PRODUCT ID]],MasterData[],6,0)</f>
        <v>6.7</v>
      </c>
      <c r="L413" s="8">
        <f>InputData[[#This Row],[BUYING PRIZE]]*InputData[[#This Row],[QUANTITY]]</f>
        <v>70</v>
      </c>
      <c r="M413" s="8">
        <f>InputData[[#This Row],[SELLING PRICE]]*InputData[[#This Row],[QUANTITY]]*(1-InputData[[#This Row],[DISCOUNT %]])</f>
        <v>93.8</v>
      </c>
      <c r="N413" s="7">
        <f>DAY(InputData[[#This Row],[DATE]])</f>
        <v>10</v>
      </c>
      <c r="O413" s="7" t="str">
        <f>TEXT(InputData[[#This Row],[DATE]],"MMM")</f>
        <v>Oct</v>
      </c>
      <c r="P413" s="7">
        <f>YEAR(InputData[[#This Row],[DATE]])</f>
        <v>2021</v>
      </c>
    </row>
    <row r="414" spans="1:16" x14ac:dyDescent="0.25">
      <c r="A414" s="3">
        <v>44814</v>
      </c>
      <c r="B414" s="4" t="s">
        <v>79</v>
      </c>
      <c r="C414" s="5">
        <v>15</v>
      </c>
      <c r="D414" s="5" t="s">
        <v>106</v>
      </c>
      <c r="E414" s="5" t="s">
        <v>107</v>
      </c>
      <c r="F414" s="6">
        <v>0</v>
      </c>
      <c r="G414" s="7" t="str">
        <f>VLOOKUP(InputData[[#This Row],[PRODUCT ID]],MasterData[],2,0)</f>
        <v>bun</v>
      </c>
      <c r="H414" s="7" t="str">
        <f>VLOOKUP(InputData[[#This Row],[PRODUCT ID]],MasterData[],3,0)</f>
        <v>Category04</v>
      </c>
      <c r="I414" s="7" t="str">
        <f>VLOOKUP(InputData[[#This Row],[PRODUCT ID]],MasterData[],4,0)</f>
        <v>No.</v>
      </c>
      <c r="J414" s="7">
        <f>VLOOKUP(InputData[[#This Row],[PRODUCT ID]],MasterData[],5,0)</f>
        <v>5</v>
      </c>
      <c r="K414" s="8">
        <f>VLOOKUP(InputData[[#This Row],[PRODUCT ID]],MasterData[],6,0)</f>
        <v>6.7</v>
      </c>
      <c r="L414" s="8">
        <f>InputData[[#This Row],[BUYING PRIZE]]*InputData[[#This Row],[QUANTITY]]</f>
        <v>75</v>
      </c>
      <c r="M414" s="8">
        <f>InputData[[#This Row],[SELLING PRICE]]*InputData[[#This Row],[QUANTITY]]*(1-InputData[[#This Row],[DISCOUNT %]])</f>
        <v>100.5</v>
      </c>
      <c r="N414" s="7">
        <f>DAY(InputData[[#This Row],[DATE]])</f>
        <v>10</v>
      </c>
      <c r="O414" s="7" t="str">
        <f>TEXT(InputData[[#This Row],[DATE]],"MMM")</f>
        <v>Sep</v>
      </c>
      <c r="P414" s="7">
        <f>YEAR(InputData[[#This Row],[DATE]])</f>
        <v>2022</v>
      </c>
    </row>
    <row r="415" spans="1:16" x14ac:dyDescent="0.25">
      <c r="A415" s="3">
        <v>44840</v>
      </c>
      <c r="B415" s="4" t="s">
        <v>79</v>
      </c>
      <c r="C415" s="5">
        <v>1</v>
      </c>
      <c r="D415" s="5" t="s">
        <v>108</v>
      </c>
      <c r="E415" s="5" t="s">
        <v>106</v>
      </c>
      <c r="F415" s="6">
        <v>0</v>
      </c>
      <c r="G415" s="7" t="str">
        <f>VLOOKUP(InputData[[#This Row],[PRODUCT ID]],MasterData[],2,0)</f>
        <v>bun</v>
      </c>
      <c r="H415" s="7" t="str">
        <f>VLOOKUP(InputData[[#This Row],[PRODUCT ID]],MasterData[],3,0)</f>
        <v>Category04</v>
      </c>
      <c r="I415" s="7" t="str">
        <f>VLOOKUP(InputData[[#This Row],[PRODUCT ID]],MasterData[],4,0)</f>
        <v>No.</v>
      </c>
      <c r="J415" s="7">
        <f>VLOOKUP(InputData[[#This Row],[PRODUCT ID]],MasterData[],5,0)</f>
        <v>5</v>
      </c>
      <c r="K415" s="8">
        <f>VLOOKUP(InputData[[#This Row],[PRODUCT ID]],MasterData[],6,0)</f>
        <v>6.7</v>
      </c>
      <c r="L415" s="8">
        <f>InputData[[#This Row],[BUYING PRIZE]]*InputData[[#This Row],[QUANTITY]]</f>
        <v>5</v>
      </c>
      <c r="M415" s="8">
        <f>InputData[[#This Row],[SELLING PRICE]]*InputData[[#This Row],[QUANTITY]]*(1-InputData[[#This Row],[DISCOUNT %]])</f>
        <v>6.7</v>
      </c>
      <c r="N415" s="7">
        <f>DAY(InputData[[#This Row],[DATE]])</f>
        <v>6</v>
      </c>
      <c r="O415" s="7" t="str">
        <f>TEXT(InputData[[#This Row],[DATE]],"MMM")</f>
        <v>Oct</v>
      </c>
      <c r="P415" s="7">
        <f>YEAR(InputData[[#This Row],[DATE]])</f>
        <v>2022</v>
      </c>
    </row>
    <row r="416" spans="1:16" x14ac:dyDescent="0.25">
      <c r="A416" s="3">
        <v>44867</v>
      </c>
      <c r="B416" s="4" t="s">
        <v>79</v>
      </c>
      <c r="C416" s="5">
        <v>5</v>
      </c>
      <c r="D416" s="5" t="s">
        <v>108</v>
      </c>
      <c r="E416" s="5" t="s">
        <v>107</v>
      </c>
      <c r="F416" s="6">
        <v>0</v>
      </c>
      <c r="G416" s="7" t="str">
        <f>VLOOKUP(InputData[[#This Row],[PRODUCT ID]],MasterData[],2,0)</f>
        <v>bun</v>
      </c>
      <c r="H416" s="7" t="str">
        <f>VLOOKUP(InputData[[#This Row],[PRODUCT ID]],MasterData[],3,0)</f>
        <v>Category04</v>
      </c>
      <c r="I416" s="7" t="str">
        <f>VLOOKUP(InputData[[#This Row],[PRODUCT ID]],MasterData[],4,0)</f>
        <v>No.</v>
      </c>
      <c r="J416" s="7">
        <f>VLOOKUP(InputData[[#This Row],[PRODUCT ID]],MasterData[],5,0)</f>
        <v>5</v>
      </c>
      <c r="K416" s="8">
        <f>VLOOKUP(InputData[[#This Row],[PRODUCT ID]],MasterData[],6,0)</f>
        <v>6.7</v>
      </c>
      <c r="L416" s="8">
        <f>InputData[[#This Row],[BUYING PRIZE]]*InputData[[#This Row],[QUANTITY]]</f>
        <v>25</v>
      </c>
      <c r="M416" s="8">
        <f>InputData[[#This Row],[SELLING PRICE]]*InputData[[#This Row],[QUANTITY]]*(1-InputData[[#This Row],[DISCOUNT %]])</f>
        <v>33.5</v>
      </c>
      <c r="N416" s="7">
        <f>DAY(InputData[[#This Row],[DATE]])</f>
        <v>2</v>
      </c>
      <c r="O416" s="7" t="str">
        <f>TEXT(InputData[[#This Row],[DATE]],"MMM")</f>
        <v>Nov</v>
      </c>
      <c r="P416" s="7">
        <f>YEAR(InputData[[#This Row],[DATE]])</f>
        <v>2022</v>
      </c>
    </row>
    <row r="417" spans="1:16" x14ac:dyDescent="0.25">
      <c r="A417" s="3">
        <v>44400</v>
      </c>
      <c r="B417" s="4" t="s">
        <v>81</v>
      </c>
      <c r="C417" s="5">
        <v>7</v>
      </c>
      <c r="D417" s="5" t="s">
        <v>105</v>
      </c>
      <c r="E417" s="5" t="s">
        <v>106</v>
      </c>
      <c r="F417" s="6">
        <v>0</v>
      </c>
      <c r="G417" s="7" t="str">
        <f>VLOOKUP(InputData[[#This Row],[PRODUCT ID]],MasterData[],2,0)</f>
        <v>carrot</v>
      </c>
      <c r="H417" s="7" t="str">
        <f>VLOOKUP(InputData[[#This Row],[PRODUCT ID]],MasterData[],3,0)</f>
        <v>Category04</v>
      </c>
      <c r="I417" s="7" t="str">
        <f>VLOOKUP(InputData[[#This Row],[PRODUCT ID]],MasterData[],4,0)</f>
        <v>Kg</v>
      </c>
      <c r="J417" s="7">
        <f>VLOOKUP(InputData[[#This Row],[PRODUCT ID]],MasterData[],5,0)</f>
        <v>90</v>
      </c>
      <c r="K417" s="8">
        <f>VLOOKUP(InputData[[#This Row],[PRODUCT ID]],MasterData[],6,0)</f>
        <v>96.3</v>
      </c>
      <c r="L417" s="8">
        <f>InputData[[#This Row],[BUYING PRIZE]]*InputData[[#This Row],[QUANTITY]]</f>
        <v>630</v>
      </c>
      <c r="M417" s="8">
        <f>InputData[[#This Row],[SELLING PRICE]]*InputData[[#This Row],[QUANTITY]]*(1-InputData[[#This Row],[DISCOUNT %]])</f>
        <v>674.1</v>
      </c>
      <c r="N417" s="7">
        <f>DAY(InputData[[#This Row],[DATE]])</f>
        <v>23</v>
      </c>
      <c r="O417" s="7" t="str">
        <f>TEXT(InputData[[#This Row],[DATE]],"MMM")</f>
        <v>Jul</v>
      </c>
      <c r="P417" s="7">
        <f>YEAR(InputData[[#This Row],[DATE]])</f>
        <v>2021</v>
      </c>
    </row>
    <row r="418" spans="1:16" x14ac:dyDescent="0.25">
      <c r="A418" s="3">
        <v>44475</v>
      </c>
      <c r="B418" s="4" t="s">
        <v>81</v>
      </c>
      <c r="C418" s="5">
        <v>12</v>
      </c>
      <c r="D418" s="5" t="s">
        <v>106</v>
      </c>
      <c r="E418" s="5" t="s">
        <v>106</v>
      </c>
      <c r="F418" s="6">
        <v>0</v>
      </c>
      <c r="G418" s="7" t="str">
        <f>VLOOKUP(InputData[[#This Row],[PRODUCT ID]],MasterData[],2,0)</f>
        <v>carrot</v>
      </c>
      <c r="H418" s="7" t="str">
        <f>VLOOKUP(InputData[[#This Row],[PRODUCT ID]],MasterData[],3,0)</f>
        <v>Category04</v>
      </c>
      <c r="I418" s="7" t="str">
        <f>VLOOKUP(InputData[[#This Row],[PRODUCT ID]],MasterData[],4,0)</f>
        <v>Kg</v>
      </c>
      <c r="J418" s="7">
        <f>VLOOKUP(InputData[[#This Row],[PRODUCT ID]],MasterData[],5,0)</f>
        <v>90</v>
      </c>
      <c r="K418" s="8">
        <f>VLOOKUP(InputData[[#This Row],[PRODUCT ID]],MasterData[],6,0)</f>
        <v>96.3</v>
      </c>
      <c r="L418" s="8">
        <f>InputData[[#This Row],[BUYING PRIZE]]*InputData[[#This Row],[QUANTITY]]</f>
        <v>1080</v>
      </c>
      <c r="M418" s="8">
        <f>InputData[[#This Row],[SELLING PRICE]]*InputData[[#This Row],[QUANTITY]]*(1-InputData[[#This Row],[DISCOUNT %]])</f>
        <v>1155.5999999999999</v>
      </c>
      <c r="N418" s="7">
        <f>DAY(InputData[[#This Row],[DATE]])</f>
        <v>6</v>
      </c>
      <c r="O418" s="7" t="str">
        <f>TEXT(InputData[[#This Row],[DATE]],"MMM")</f>
        <v>Oct</v>
      </c>
      <c r="P418" s="7">
        <f>YEAR(InputData[[#This Row],[DATE]])</f>
        <v>2021</v>
      </c>
    </row>
    <row r="419" spans="1:16" x14ac:dyDescent="0.25">
      <c r="A419" s="3">
        <v>44506</v>
      </c>
      <c r="B419" s="4" t="s">
        <v>81</v>
      </c>
      <c r="C419" s="5">
        <v>10</v>
      </c>
      <c r="D419" s="5" t="s">
        <v>108</v>
      </c>
      <c r="E419" s="5" t="s">
        <v>106</v>
      </c>
      <c r="F419" s="6">
        <v>0</v>
      </c>
      <c r="G419" s="7" t="str">
        <f>VLOOKUP(InputData[[#This Row],[PRODUCT ID]],MasterData[],2,0)</f>
        <v>carrot</v>
      </c>
      <c r="H419" s="7" t="str">
        <f>VLOOKUP(InputData[[#This Row],[PRODUCT ID]],MasterData[],3,0)</f>
        <v>Category04</v>
      </c>
      <c r="I419" s="7" t="str">
        <f>VLOOKUP(InputData[[#This Row],[PRODUCT ID]],MasterData[],4,0)</f>
        <v>Kg</v>
      </c>
      <c r="J419" s="7">
        <f>VLOOKUP(InputData[[#This Row],[PRODUCT ID]],MasterData[],5,0)</f>
        <v>90</v>
      </c>
      <c r="K419" s="8">
        <f>VLOOKUP(InputData[[#This Row],[PRODUCT ID]],MasterData[],6,0)</f>
        <v>96.3</v>
      </c>
      <c r="L419" s="8">
        <f>InputData[[#This Row],[BUYING PRIZE]]*InputData[[#This Row],[QUANTITY]]</f>
        <v>900</v>
      </c>
      <c r="M419" s="8">
        <f>InputData[[#This Row],[SELLING PRICE]]*InputData[[#This Row],[QUANTITY]]*(1-InputData[[#This Row],[DISCOUNT %]])</f>
        <v>963</v>
      </c>
      <c r="N419" s="7">
        <f>DAY(InputData[[#This Row],[DATE]])</f>
        <v>6</v>
      </c>
      <c r="O419" s="7" t="str">
        <f>TEXT(InputData[[#This Row],[DATE]],"MMM")</f>
        <v>Nov</v>
      </c>
      <c r="P419" s="7">
        <f>YEAR(InputData[[#This Row],[DATE]])</f>
        <v>2021</v>
      </c>
    </row>
    <row r="420" spans="1:16" x14ac:dyDescent="0.25">
      <c r="A420" s="3">
        <v>44554</v>
      </c>
      <c r="B420" s="4" t="s">
        <v>81</v>
      </c>
      <c r="C420" s="5">
        <v>8</v>
      </c>
      <c r="D420" s="5" t="s">
        <v>105</v>
      </c>
      <c r="E420" s="5" t="s">
        <v>106</v>
      </c>
      <c r="F420" s="6">
        <v>0</v>
      </c>
      <c r="G420" s="7" t="str">
        <f>VLOOKUP(InputData[[#This Row],[PRODUCT ID]],MasterData[],2,0)</f>
        <v>carrot</v>
      </c>
      <c r="H420" s="7" t="str">
        <f>VLOOKUP(InputData[[#This Row],[PRODUCT ID]],MasterData[],3,0)</f>
        <v>Category04</v>
      </c>
      <c r="I420" s="7" t="str">
        <f>VLOOKUP(InputData[[#This Row],[PRODUCT ID]],MasterData[],4,0)</f>
        <v>Kg</v>
      </c>
      <c r="J420" s="7">
        <f>VLOOKUP(InputData[[#This Row],[PRODUCT ID]],MasterData[],5,0)</f>
        <v>90</v>
      </c>
      <c r="K420" s="8">
        <f>VLOOKUP(InputData[[#This Row],[PRODUCT ID]],MasterData[],6,0)</f>
        <v>96.3</v>
      </c>
      <c r="L420" s="8">
        <f>InputData[[#This Row],[BUYING PRIZE]]*InputData[[#This Row],[QUANTITY]]</f>
        <v>720</v>
      </c>
      <c r="M420" s="8">
        <f>InputData[[#This Row],[SELLING PRICE]]*InputData[[#This Row],[QUANTITY]]*(1-InputData[[#This Row],[DISCOUNT %]])</f>
        <v>770.4</v>
      </c>
      <c r="N420" s="7">
        <f>DAY(InputData[[#This Row],[DATE]])</f>
        <v>24</v>
      </c>
      <c r="O420" s="7" t="str">
        <f>TEXT(InputData[[#This Row],[DATE]],"MMM")</f>
        <v>Dec</v>
      </c>
      <c r="P420" s="7">
        <f>YEAR(InputData[[#This Row],[DATE]])</f>
        <v>2021</v>
      </c>
    </row>
    <row r="421" spans="1:16" x14ac:dyDescent="0.25">
      <c r="A421" s="3">
        <v>44615</v>
      </c>
      <c r="B421" s="4" t="s">
        <v>81</v>
      </c>
      <c r="C421" s="5">
        <v>8</v>
      </c>
      <c r="D421" s="5" t="s">
        <v>108</v>
      </c>
      <c r="E421" s="5" t="s">
        <v>106</v>
      </c>
      <c r="F421" s="6">
        <v>0</v>
      </c>
      <c r="G421" s="7" t="str">
        <f>VLOOKUP(InputData[[#This Row],[PRODUCT ID]],MasterData[],2,0)</f>
        <v>carrot</v>
      </c>
      <c r="H421" s="7" t="str">
        <f>VLOOKUP(InputData[[#This Row],[PRODUCT ID]],MasterData[],3,0)</f>
        <v>Category04</v>
      </c>
      <c r="I421" s="7" t="str">
        <f>VLOOKUP(InputData[[#This Row],[PRODUCT ID]],MasterData[],4,0)</f>
        <v>Kg</v>
      </c>
      <c r="J421" s="7">
        <f>VLOOKUP(InputData[[#This Row],[PRODUCT ID]],MasterData[],5,0)</f>
        <v>90</v>
      </c>
      <c r="K421" s="8">
        <f>VLOOKUP(InputData[[#This Row],[PRODUCT ID]],MasterData[],6,0)</f>
        <v>96.3</v>
      </c>
      <c r="L421" s="8">
        <f>InputData[[#This Row],[BUYING PRIZE]]*InputData[[#This Row],[QUANTITY]]</f>
        <v>720</v>
      </c>
      <c r="M421" s="8">
        <f>InputData[[#This Row],[SELLING PRICE]]*InputData[[#This Row],[QUANTITY]]*(1-InputData[[#This Row],[DISCOUNT %]])</f>
        <v>770.4</v>
      </c>
      <c r="N421" s="7">
        <f>DAY(InputData[[#This Row],[DATE]])</f>
        <v>23</v>
      </c>
      <c r="O421" s="7" t="str">
        <f>TEXT(InputData[[#This Row],[DATE]],"MMM")</f>
        <v>Feb</v>
      </c>
      <c r="P421" s="7">
        <f>YEAR(InputData[[#This Row],[DATE]])</f>
        <v>2022</v>
      </c>
    </row>
    <row r="422" spans="1:16" x14ac:dyDescent="0.25">
      <c r="A422" s="3">
        <v>44831</v>
      </c>
      <c r="B422" s="4" t="s">
        <v>81</v>
      </c>
      <c r="C422" s="5">
        <v>4</v>
      </c>
      <c r="D422" s="5" t="s">
        <v>108</v>
      </c>
      <c r="E422" s="5" t="s">
        <v>107</v>
      </c>
      <c r="F422" s="6">
        <v>0</v>
      </c>
      <c r="G422" s="7" t="str">
        <f>VLOOKUP(InputData[[#This Row],[PRODUCT ID]],MasterData[],2,0)</f>
        <v>carrot</v>
      </c>
      <c r="H422" s="7" t="str">
        <f>VLOOKUP(InputData[[#This Row],[PRODUCT ID]],MasterData[],3,0)</f>
        <v>Category04</v>
      </c>
      <c r="I422" s="7" t="str">
        <f>VLOOKUP(InputData[[#This Row],[PRODUCT ID]],MasterData[],4,0)</f>
        <v>Kg</v>
      </c>
      <c r="J422" s="7">
        <f>VLOOKUP(InputData[[#This Row],[PRODUCT ID]],MasterData[],5,0)</f>
        <v>90</v>
      </c>
      <c r="K422" s="8">
        <f>VLOOKUP(InputData[[#This Row],[PRODUCT ID]],MasterData[],6,0)</f>
        <v>96.3</v>
      </c>
      <c r="L422" s="8">
        <f>InputData[[#This Row],[BUYING PRIZE]]*InputData[[#This Row],[QUANTITY]]</f>
        <v>360</v>
      </c>
      <c r="M422" s="8">
        <f>InputData[[#This Row],[SELLING PRICE]]*InputData[[#This Row],[QUANTITY]]*(1-InputData[[#This Row],[DISCOUNT %]])</f>
        <v>385.2</v>
      </c>
      <c r="N422" s="7">
        <f>DAY(InputData[[#This Row],[DATE]])</f>
        <v>27</v>
      </c>
      <c r="O422" s="7" t="str">
        <f>TEXT(InputData[[#This Row],[DATE]],"MMM")</f>
        <v>Sep</v>
      </c>
      <c r="P422" s="7">
        <f>YEAR(InputData[[#This Row],[DATE]])</f>
        <v>2022</v>
      </c>
    </row>
    <row r="423" spans="1:16" x14ac:dyDescent="0.25">
      <c r="A423" s="3">
        <v>44850</v>
      </c>
      <c r="B423" s="4" t="s">
        <v>81</v>
      </c>
      <c r="C423" s="5">
        <v>3</v>
      </c>
      <c r="D423" s="5" t="s">
        <v>106</v>
      </c>
      <c r="E423" s="5" t="s">
        <v>106</v>
      </c>
      <c r="F423" s="6">
        <v>0</v>
      </c>
      <c r="G423" s="7" t="str">
        <f>VLOOKUP(InputData[[#This Row],[PRODUCT ID]],MasterData[],2,0)</f>
        <v>carrot</v>
      </c>
      <c r="H423" s="7" t="str">
        <f>VLOOKUP(InputData[[#This Row],[PRODUCT ID]],MasterData[],3,0)</f>
        <v>Category04</v>
      </c>
      <c r="I423" s="7" t="str">
        <f>VLOOKUP(InputData[[#This Row],[PRODUCT ID]],MasterData[],4,0)</f>
        <v>Kg</v>
      </c>
      <c r="J423" s="7">
        <f>VLOOKUP(InputData[[#This Row],[PRODUCT ID]],MasterData[],5,0)</f>
        <v>90</v>
      </c>
      <c r="K423" s="8">
        <f>VLOOKUP(InputData[[#This Row],[PRODUCT ID]],MasterData[],6,0)</f>
        <v>96.3</v>
      </c>
      <c r="L423" s="8">
        <f>InputData[[#This Row],[BUYING PRIZE]]*InputData[[#This Row],[QUANTITY]]</f>
        <v>270</v>
      </c>
      <c r="M423" s="8">
        <f>InputData[[#This Row],[SELLING PRICE]]*InputData[[#This Row],[QUANTITY]]*(1-InputData[[#This Row],[DISCOUNT %]])</f>
        <v>288.89999999999998</v>
      </c>
      <c r="N423" s="7">
        <f>DAY(InputData[[#This Row],[DATE]])</f>
        <v>16</v>
      </c>
      <c r="O423" s="7" t="str">
        <f>TEXT(InputData[[#This Row],[DATE]],"MMM")</f>
        <v>Oct</v>
      </c>
      <c r="P423" s="7">
        <f>YEAR(InputData[[#This Row],[DATE]])</f>
        <v>2022</v>
      </c>
    </row>
    <row r="424" spans="1:16" x14ac:dyDescent="0.25">
      <c r="A424" s="3">
        <v>44873</v>
      </c>
      <c r="B424" s="4" t="s">
        <v>81</v>
      </c>
      <c r="C424" s="5">
        <v>11</v>
      </c>
      <c r="D424" s="5" t="s">
        <v>105</v>
      </c>
      <c r="E424" s="5" t="s">
        <v>107</v>
      </c>
      <c r="F424" s="6">
        <v>0</v>
      </c>
      <c r="G424" s="7" t="str">
        <f>VLOOKUP(InputData[[#This Row],[PRODUCT ID]],MasterData[],2,0)</f>
        <v>carrot</v>
      </c>
      <c r="H424" s="7" t="str">
        <f>VLOOKUP(InputData[[#This Row],[PRODUCT ID]],MasterData[],3,0)</f>
        <v>Category04</v>
      </c>
      <c r="I424" s="7" t="str">
        <f>VLOOKUP(InputData[[#This Row],[PRODUCT ID]],MasterData[],4,0)</f>
        <v>Kg</v>
      </c>
      <c r="J424" s="7">
        <f>VLOOKUP(InputData[[#This Row],[PRODUCT ID]],MasterData[],5,0)</f>
        <v>90</v>
      </c>
      <c r="K424" s="8">
        <f>VLOOKUP(InputData[[#This Row],[PRODUCT ID]],MasterData[],6,0)</f>
        <v>96.3</v>
      </c>
      <c r="L424" s="8">
        <f>InputData[[#This Row],[BUYING PRIZE]]*InputData[[#This Row],[QUANTITY]]</f>
        <v>990</v>
      </c>
      <c r="M424" s="8">
        <f>InputData[[#This Row],[SELLING PRICE]]*InputData[[#This Row],[QUANTITY]]*(1-InputData[[#This Row],[DISCOUNT %]])</f>
        <v>1059.3</v>
      </c>
      <c r="N424" s="7">
        <f>DAY(InputData[[#This Row],[DATE]])</f>
        <v>8</v>
      </c>
      <c r="O424" s="7" t="str">
        <f>TEXT(InputData[[#This Row],[DATE]],"MMM")</f>
        <v>Nov</v>
      </c>
      <c r="P424" s="7">
        <f>YEAR(InputData[[#This Row],[DATE]])</f>
        <v>2022</v>
      </c>
    </row>
    <row r="425" spans="1:16" x14ac:dyDescent="0.25">
      <c r="A425" s="3">
        <v>44888</v>
      </c>
      <c r="B425" s="4" t="s">
        <v>81</v>
      </c>
      <c r="C425" s="5">
        <v>12</v>
      </c>
      <c r="D425" s="5" t="s">
        <v>106</v>
      </c>
      <c r="E425" s="5" t="s">
        <v>106</v>
      </c>
      <c r="F425" s="6">
        <v>0</v>
      </c>
      <c r="G425" s="7" t="str">
        <f>VLOOKUP(InputData[[#This Row],[PRODUCT ID]],MasterData[],2,0)</f>
        <v>carrot</v>
      </c>
      <c r="H425" s="7" t="str">
        <f>VLOOKUP(InputData[[#This Row],[PRODUCT ID]],MasterData[],3,0)</f>
        <v>Category04</v>
      </c>
      <c r="I425" s="7" t="str">
        <f>VLOOKUP(InputData[[#This Row],[PRODUCT ID]],MasterData[],4,0)</f>
        <v>Kg</v>
      </c>
      <c r="J425" s="7">
        <f>VLOOKUP(InputData[[#This Row],[PRODUCT ID]],MasterData[],5,0)</f>
        <v>90</v>
      </c>
      <c r="K425" s="8">
        <f>VLOOKUP(InputData[[#This Row],[PRODUCT ID]],MasterData[],6,0)</f>
        <v>96.3</v>
      </c>
      <c r="L425" s="8">
        <f>InputData[[#This Row],[BUYING PRIZE]]*InputData[[#This Row],[QUANTITY]]</f>
        <v>1080</v>
      </c>
      <c r="M425" s="8">
        <f>InputData[[#This Row],[SELLING PRICE]]*InputData[[#This Row],[QUANTITY]]*(1-InputData[[#This Row],[DISCOUNT %]])</f>
        <v>1155.5999999999999</v>
      </c>
      <c r="N425" s="7">
        <f>DAY(InputData[[#This Row],[DATE]])</f>
        <v>23</v>
      </c>
      <c r="O425" s="7" t="str">
        <f>TEXT(InputData[[#This Row],[DATE]],"MMM")</f>
        <v>Nov</v>
      </c>
      <c r="P425" s="7">
        <f>YEAR(InputData[[#This Row],[DATE]])</f>
        <v>2022</v>
      </c>
    </row>
    <row r="426" spans="1:16" x14ac:dyDescent="0.25">
      <c r="A426" s="3">
        <v>44207</v>
      </c>
      <c r="B426" s="4" t="s">
        <v>83</v>
      </c>
      <c r="C426" s="5">
        <v>3</v>
      </c>
      <c r="D426" s="5" t="s">
        <v>108</v>
      </c>
      <c r="E426" s="5" t="s">
        <v>107</v>
      </c>
      <c r="F426" s="6">
        <v>0</v>
      </c>
      <c r="G426" s="7" t="str">
        <f>VLOOKUP(InputData[[#This Row],[PRODUCT ID]],MasterData[],2,0)</f>
        <v>Beetroot</v>
      </c>
      <c r="H426" s="7" t="str">
        <f>VLOOKUP(InputData[[#This Row],[PRODUCT ID]],MasterData[],3,0)</f>
        <v>Category05</v>
      </c>
      <c r="I426" s="7" t="str">
        <f>VLOOKUP(InputData[[#This Row],[PRODUCT ID]],MasterData[],4,0)</f>
        <v>Kg</v>
      </c>
      <c r="J426" s="7">
        <f>VLOOKUP(InputData[[#This Row],[PRODUCT ID]],MasterData[],5,0)</f>
        <v>67</v>
      </c>
      <c r="K426" s="8">
        <f>VLOOKUP(InputData[[#This Row],[PRODUCT ID]],MasterData[],6,0)</f>
        <v>85.76</v>
      </c>
      <c r="L426" s="8">
        <f>InputData[[#This Row],[BUYING PRIZE]]*InputData[[#This Row],[QUANTITY]]</f>
        <v>201</v>
      </c>
      <c r="M426" s="8">
        <f>InputData[[#This Row],[SELLING PRICE]]*InputData[[#This Row],[QUANTITY]]*(1-InputData[[#This Row],[DISCOUNT %]])</f>
        <v>257.28000000000003</v>
      </c>
      <c r="N426" s="7">
        <f>DAY(InputData[[#This Row],[DATE]])</f>
        <v>11</v>
      </c>
      <c r="O426" s="7" t="str">
        <f>TEXT(InputData[[#This Row],[DATE]],"MMM")</f>
        <v>Jan</v>
      </c>
      <c r="P426" s="7">
        <f>YEAR(InputData[[#This Row],[DATE]])</f>
        <v>2021</v>
      </c>
    </row>
    <row r="427" spans="1:16" x14ac:dyDescent="0.25">
      <c r="A427" s="3">
        <v>44231</v>
      </c>
      <c r="B427" s="4" t="s">
        <v>83</v>
      </c>
      <c r="C427" s="5">
        <v>4</v>
      </c>
      <c r="D427" s="5" t="s">
        <v>106</v>
      </c>
      <c r="E427" s="5" t="s">
        <v>106</v>
      </c>
      <c r="F427" s="6">
        <v>0</v>
      </c>
      <c r="G427" s="7" t="str">
        <f>VLOOKUP(InputData[[#This Row],[PRODUCT ID]],MasterData[],2,0)</f>
        <v>Beetroot</v>
      </c>
      <c r="H427" s="7" t="str">
        <f>VLOOKUP(InputData[[#This Row],[PRODUCT ID]],MasterData[],3,0)</f>
        <v>Category05</v>
      </c>
      <c r="I427" s="7" t="str">
        <f>VLOOKUP(InputData[[#This Row],[PRODUCT ID]],MasterData[],4,0)</f>
        <v>Kg</v>
      </c>
      <c r="J427" s="7">
        <f>VLOOKUP(InputData[[#This Row],[PRODUCT ID]],MasterData[],5,0)</f>
        <v>67</v>
      </c>
      <c r="K427" s="8">
        <f>VLOOKUP(InputData[[#This Row],[PRODUCT ID]],MasterData[],6,0)</f>
        <v>85.76</v>
      </c>
      <c r="L427" s="8">
        <f>InputData[[#This Row],[BUYING PRIZE]]*InputData[[#This Row],[QUANTITY]]</f>
        <v>268</v>
      </c>
      <c r="M427" s="8">
        <f>InputData[[#This Row],[SELLING PRICE]]*InputData[[#This Row],[QUANTITY]]*(1-InputData[[#This Row],[DISCOUNT %]])</f>
        <v>343.04</v>
      </c>
      <c r="N427" s="7">
        <f>DAY(InputData[[#This Row],[DATE]])</f>
        <v>4</v>
      </c>
      <c r="O427" s="7" t="str">
        <f>TEXT(InputData[[#This Row],[DATE]],"MMM")</f>
        <v>Feb</v>
      </c>
      <c r="P427" s="7">
        <f>YEAR(InputData[[#This Row],[DATE]])</f>
        <v>2021</v>
      </c>
    </row>
    <row r="428" spans="1:16" x14ac:dyDescent="0.25">
      <c r="A428" s="3">
        <v>44298</v>
      </c>
      <c r="B428" s="4" t="s">
        <v>83</v>
      </c>
      <c r="C428" s="5">
        <v>3</v>
      </c>
      <c r="D428" s="5" t="s">
        <v>108</v>
      </c>
      <c r="E428" s="5" t="s">
        <v>107</v>
      </c>
      <c r="F428" s="6">
        <v>0</v>
      </c>
      <c r="G428" s="7" t="str">
        <f>VLOOKUP(InputData[[#This Row],[PRODUCT ID]],MasterData[],2,0)</f>
        <v>Beetroot</v>
      </c>
      <c r="H428" s="7" t="str">
        <f>VLOOKUP(InputData[[#This Row],[PRODUCT ID]],MasterData[],3,0)</f>
        <v>Category05</v>
      </c>
      <c r="I428" s="7" t="str">
        <f>VLOOKUP(InputData[[#This Row],[PRODUCT ID]],MasterData[],4,0)</f>
        <v>Kg</v>
      </c>
      <c r="J428" s="7">
        <f>VLOOKUP(InputData[[#This Row],[PRODUCT ID]],MasterData[],5,0)</f>
        <v>67</v>
      </c>
      <c r="K428" s="8">
        <f>VLOOKUP(InputData[[#This Row],[PRODUCT ID]],MasterData[],6,0)</f>
        <v>85.76</v>
      </c>
      <c r="L428" s="8">
        <f>InputData[[#This Row],[BUYING PRIZE]]*InputData[[#This Row],[QUANTITY]]</f>
        <v>201</v>
      </c>
      <c r="M428" s="8">
        <f>InputData[[#This Row],[SELLING PRICE]]*InputData[[#This Row],[QUANTITY]]*(1-InputData[[#This Row],[DISCOUNT %]])</f>
        <v>257.28000000000003</v>
      </c>
      <c r="N428" s="7">
        <f>DAY(InputData[[#This Row],[DATE]])</f>
        <v>12</v>
      </c>
      <c r="O428" s="7" t="str">
        <f>TEXT(InputData[[#This Row],[DATE]],"MMM")</f>
        <v>Apr</v>
      </c>
      <c r="P428" s="7">
        <f>YEAR(InputData[[#This Row],[DATE]])</f>
        <v>2021</v>
      </c>
    </row>
    <row r="429" spans="1:16" x14ac:dyDescent="0.25">
      <c r="A429" s="3">
        <v>44312</v>
      </c>
      <c r="B429" s="4" t="s">
        <v>83</v>
      </c>
      <c r="C429" s="5">
        <v>3</v>
      </c>
      <c r="D429" s="5" t="s">
        <v>108</v>
      </c>
      <c r="E429" s="5" t="s">
        <v>106</v>
      </c>
      <c r="F429" s="6">
        <v>0</v>
      </c>
      <c r="G429" s="7" t="str">
        <f>VLOOKUP(InputData[[#This Row],[PRODUCT ID]],MasterData[],2,0)</f>
        <v>Beetroot</v>
      </c>
      <c r="H429" s="7" t="str">
        <f>VLOOKUP(InputData[[#This Row],[PRODUCT ID]],MasterData[],3,0)</f>
        <v>Category05</v>
      </c>
      <c r="I429" s="7" t="str">
        <f>VLOOKUP(InputData[[#This Row],[PRODUCT ID]],MasterData[],4,0)</f>
        <v>Kg</v>
      </c>
      <c r="J429" s="7">
        <f>VLOOKUP(InputData[[#This Row],[PRODUCT ID]],MasterData[],5,0)</f>
        <v>67</v>
      </c>
      <c r="K429" s="8">
        <f>VLOOKUP(InputData[[#This Row],[PRODUCT ID]],MasterData[],6,0)</f>
        <v>85.76</v>
      </c>
      <c r="L429" s="8">
        <f>InputData[[#This Row],[BUYING PRIZE]]*InputData[[#This Row],[QUANTITY]]</f>
        <v>201</v>
      </c>
      <c r="M429" s="8">
        <f>InputData[[#This Row],[SELLING PRICE]]*InputData[[#This Row],[QUANTITY]]*(1-InputData[[#This Row],[DISCOUNT %]])</f>
        <v>257.28000000000003</v>
      </c>
      <c r="N429" s="7">
        <f>DAY(InputData[[#This Row],[DATE]])</f>
        <v>26</v>
      </c>
      <c r="O429" s="7" t="str">
        <f>TEXT(InputData[[#This Row],[DATE]],"MMM")</f>
        <v>Apr</v>
      </c>
      <c r="P429" s="7">
        <f>YEAR(InputData[[#This Row],[DATE]])</f>
        <v>2021</v>
      </c>
    </row>
    <row r="430" spans="1:16" x14ac:dyDescent="0.25">
      <c r="A430" s="3">
        <v>44400</v>
      </c>
      <c r="B430" s="4" t="s">
        <v>83</v>
      </c>
      <c r="C430" s="5">
        <v>8</v>
      </c>
      <c r="D430" s="5" t="s">
        <v>108</v>
      </c>
      <c r="E430" s="5" t="s">
        <v>106</v>
      </c>
      <c r="F430" s="6">
        <v>0</v>
      </c>
      <c r="G430" s="7" t="str">
        <f>VLOOKUP(InputData[[#This Row],[PRODUCT ID]],MasterData[],2,0)</f>
        <v>Beetroot</v>
      </c>
      <c r="H430" s="7" t="str">
        <f>VLOOKUP(InputData[[#This Row],[PRODUCT ID]],MasterData[],3,0)</f>
        <v>Category05</v>
      </c>
      <c r="I430" s="7" t="str">
        <f>VLOOKUP(InputData[[#This Row],[PRODUCT ID]],MasterData[],4,0)</f>
        <v>Kg</v>
      </c>
      <c r="J430" s="7">
        <f>VLOOKUP(InputData[[#This Row],[PRODUCT ID]],MasterData[],5,0)</f>
        <v>67</v>
      </c>
      <c r="K430" s="8">
        <f>VLOOKUP(InputData[[#This Row],[PRODUCT ID]],MasterData[],6,0)</f>
        <v>85.76</v>
      </c>
      <c r="L430" s="8">
        <f>InputData[[#This Row],[BUYING PRIZE]]*InputData[[#This Row],[QUANTITY]]</f>
        <v>536</v>
      </c>
      <c r="M430" s="8">
        <f>InputData[[#This Row],[SELLING PRICE]]*InputData[[#This Row],[QUANTITY]]*(1-InputData[[#This Row],[DISCOUNT %]])</f>
        <v>686.08</v>
      </c>
      <c r="N430" s="7">
        <f>DAY(InputData[[#This Row],[DATE]])</f>
        <v>23</v>
      </c>
      <c r="O430" s="7" t="str">
        <f>TEXT(InputData[[#This Row],[DATE]],"MMM")</f>
        <v>Jul</v>
      </c>
      <c r="P430" s="7">
        <f>YEAR(InputData[[#This Row],[DATE]])</f>
        <v>2021</v>
      </c>
    </row>
    <row r="431" spans="1:16" x14ac:dyDescent="0.25">
      <c r="A431" s="3">
        <v>44414</v>
      </c>
      <c r="B431" s="4" t="s">
        <v>83</v>
      </c>
      <c r="C431" s="5">
        <v>1</v>
      </c>
      <c r="D431" s="5" t="s">
        <v>105</v>
      </c>
      <c r="E431" s="5" t="s">
        <v>107</v>
      </c>
      <c r="F431" s="6">
        <v>0</v>
      </c>
      <c r="G431" s="7" t="str">
        <f>VLOOKUP(InputData[[#This Row],[PRODUCT ID]],MasterData[],2,0)</f>
        <v>Beetroot</v>
      </c>
      <c r="H431" s="7" t="str">
        <f>VLOOKUP(InputData[[#This Row],[PRODUCT ID]],MasterData[],3,0)</f>
        <v>Category05</v>
      </c>
      <c r="I431" s="7" t="str">
        <f>VLOOKUP(InputData[[#This Row],[PRODUCT ID]],MasterData[],4,0)</f>
        <v>Kg</v>
      </c>
      <c r="J431" s="7">
        <f>VLOOKUP(InputData[[#This Row],[PRODUCT ID]],MasterData[],5,0)</f>
        <v>67</v>
      </c>
      <c r="K431" s="8">
        <f>VLOOKUP(InputData[[#This Row],[PRODUCT ID]],MasterData[],6,0)</f>
        <v>85.76</v>
      </c>
      <c r="L431" s="8">
        <f>InputData[[#This Row],[BUYING PRIZE]]*InputData[[#This Row],[QUANTITY]]</f>
        <v>67</v>
      </c>
      <c r="M431" s="8">
        <f>InputData[[#This Row],[SELLING PRICE]]*InputData[[#This Row],[QUANTITY]]*(1-InputData[[#This Row],[DISCOUNT %]])</f>
        <v>85.76</v>
      </c>
      <c r="N431" s="7">
        <f>DAY(InputData[[#This Row],[DATE]])</f>
        <v>6</v>
      </c>
      <c r="O431" s="7" t="str">
        <f>TEXT(InputData[[#This Row],[DATE]],"MMM")</f>
        <v>Aug</v>
      </c>
      <c r="P431" s="7">
        <f>YEAR(InputData[[#This Row],[DATE]])</f>
        <v>2021</v>
      </c>
    </row>
    <row r="432" spans="1:16" x14ac:dyDescent="0.25">
      <c r="A432" s="3">
        <v>44620</v>
      </c>
      <c r="B432" s="4" t="s">
        <v>83</v>
      </c>
      <c r="C432" s="5">
        <v>15</v>
      </c>
      <c r="D432" s="5" t="s">
        <v>108</v>
      </c>
      <c r="E432" s="5" t="s">
        <v>107</v>
      </c>
      <c r="F432" s="6">
        <v>0</v>
      </c>
      <c r="G432" s="7" t="str">
        <f>VLOOKUP(InputData[[#This Row],[PRODUCT ID]],MasterData[],2,0)</f>
        <v>Beetroot</v>
      </c>
      <c r="H432" s="7" t="str">
        <f>VLOOKUP(InputData[[#This Row],[PRODUCT ID]],MasterData[],3,0)</f>
        <v>Category05</v>
      </c>
      <c r="I432" s="7" t="str">
        <f>VLOOKUP(InputData[[#This Row],[PRODUCT ID]],MasterData[],4,0)</f>
        <v>Kg</v>
      </c>
      <c r="J432" s="7">
        <f>VLOOKUP(InputData[[#This Row],[PRODUCT ID]],MasterData[],5,0)</f>
        <v>67</v>
      </c>
      <c r="K432" s="8">
        <f>VLOOKUP(InputData[[#This Row],[PRODUCT ID]],MasterData[],6,0)</f>
        <v>85.76</v>
      </c>
      <c r="L432" s="8">
        <f>InputData[[#This Row],[BUYING PRIZE]]*InputData[[#This Row],[QUANTITY]]</f>
        <v>1005</v>
      </c>
      <c r="M432" s="8">
        <f>InputData[[#This Row],[SELLING PRICE]]*InputData[[#This Row],[QUANTITY]]*(1-InputData[[#This Row],[DISCOUNT %]])</f>
        <v>1286.4000000000001</v>
      </c>
      <c r="N432" s="7">
        <f>DAY(InputData[[#This Row],[DATE]])</f>
        <v>28</v>
      </c>
      <c r="O432" s="7" t="str">
        <f>TEXT(InputData[[#This Row],[DATE]],"MMM")</f>
        <v>Feb</v>
      </c>
      <c r="P432" s="7">
        <f>YEAR(InputData[[#This Row],[DATE]])</f>
        <v>2022</v>
      </c>
    </row>
    <row r="433" spans="1:16" x14ac:dyDescent="0.25">
      <c r="A433" s="3">
        <v>44799</v>
      </c>
      <c r="B433" s="4" t="s">
        <v>83</v>
      </c>
      <c r="C433" s="5">
        <v>8</v>
      </c>
      <c r="D433" s="5" t="s">
        <v>106</v>
      </c>
      <c r="E433" s="5" t="s">
        <v>106</v>
      </c>
      <c r="F433" s="6">
        <v>0</v>
      </c>
      <c r="G433" s="7" t="str">
        <f>VLOOKUP(InputData[[#This Row],[PRODUCT ID]],MasterData[],2,0)</f>
        <v>Beetroot</v>
      </c>
      <c r="H433" s="7" t="str">
        <f>VLOOKUP(InputData[[#This Row],[PRODUCT ID]],MasterData[],3,0)</f>
        <v>Category05</v>
      </c>
      <c r="I433" s="7" t="str">
        <f>VLOOKUP(InputData[[#This Row],[PRODUCT ID]],MasterData[],4,0)</f>
        <v>Kg</v>
      </c>
      <c r="J433" s="7">
        <f>VLOOKUP(InputData[[#This Row],[PRODUCT ID]],MasterData[],5,0)</f>
        <v>67</v>
      </c>
      <c r="K433" s="8">
        <f>VLOOKUP(InputData[[#This Row],[PRODUCT ID]],MasterData[],6,0)</f>
        <v>85.76</v>
      </c>
      <c r="L433" s="8">
        <f>InputData[[#This Row],[BUYING PRIZE]]*InputData[[#This Row],[QUANTITY]]</f>
        <v>536</v>
      </c>
      <c r="M433" s="8">
        <f>InputData[[#This Row],[SELLING PRICE]]*InputData[[#This Row],[QUANTITY]]*(1-InputData[[#This Row],[DISCOUNT %]])</f>
        <v>686.08</v>
      </c>
      <c r="N433" s="7">
        <f>DAY(InputData[[#This Row],[DATE]])</f>
        <v>26</v>
      </c>
      <c r="O433" s="7" t="str">
        <f>TEXT(InputData[[#This Row],[DATE]],"MMM")</f>
        <v>Aug</v>
      </c>
      <c r="P433" s="7">
        <f>YEAR(InputData[[#This Row],[DATE]])</f>
        <v>2022</v>
      </c>
    </row>
    <row r="434" spans="1:16" x14ac:dyDescent="0.25">
      <c r="A434" s="3">
        <v>44819</v>
      </c>
      <c r="B434" s="4" t="s">
        <v>83</v>
      </c>
      <c r="C434" s="5">
        <v>15</v>
      </c>
      <c r="D434" s="5" t="s">
        <v>106</v>
      </c>
      <c r="E434" s="5" t="s">
        <v>106</v>
      </c>
      <c r="F434" s="6">
        <v>0</v>
      </c>
      <c r="G434" s="7" t="str">
        <f>VLOOKUP(InputData[[#This Row],[PRODUCT ID]],MasterData[],2,0)</f>
        <v>Beetroot</v>
      </c>
      <c r="H434" s="7" t="str">
        <f>VLOOKUP(InputData[[#This Row],[PRODUCT ID]],MasterData[],3,0)</f>
        <v>Category05</v>
      </c>
      <c r="I434" s="7" t="str">
        <f>VLOOKUP(InputData[[#This Row],[PRODUCT ID]],MasterData[],4,0)</f>
        <v>Kg</v>
      </c>
      <c r="J434" s="7">
        <f>VLOOKUP(InputData[[#This Row],[PRODUCT ID]],MasterData[],5,0)</f>
        <v>67</v>
      </c>
      <c r="K434" s="8">
        <f>VLOOKUP(InputData[[#This Row],[PRODUCT ID]],MasterData[],6,0)</f>
        <v>85.76</v>
      </c>
      <c r="L434" s="8">
        <f>InputData[[#This Row],[BUYING PRIZE]]*InputData[[#This Row],[QUANTITY]]</f>
        <v>1005</v>
      </c>
      <c r="M434" s="8">
        <f>InputData[[#This Row],[SELLING PRICE]]*InputData[[#This Row],[QUANTITY]]*(1-InputData[[#This Row],[DISCOUNT %]])</f>
        <v>1286.4000000000001</v>
      </c>
      <c r="N434" s="7">
        <f>DAY(InputData[[#This Row],[DATE]])</f>
        <v>15</v>
      </c>
      <c r="O434" s="7" t="str">
        <f>TEXT(InputData[[#This Row],[DATE]],"MMM")</f>
        <v>Sep</v>
      </c>
      <c r="P434" s="7">
        <f>YEAR(InputData[[#This Row],[DATE]])</f>
        <v>2022</v>
      </c>
    </row>
    <row r="435" spans="1:16" x14ac:dyDescent="0.25">
      <c r="A435" s="3">
        <v>44198</v>
      </c>
      <c r="B435" s="4" t="s">
        <v>86</v>
      </c>
      <c r="C435" s="5">
        <v>15</v>
      </c>
      <c r="D435" s="5" t="s">
        <v>106</v>
      </c>
      <c r="E435" s="5" t="s">
        <v>107</v>
      </c>
      <c r="F435" s="6">
        <v>0</v>
      </c>
      <c r="G435" s="7" t="str">
        <f>VLOOKUP(InputData[[#This Row],[PRODUCT ID]],MasterData[],2,0)</f>
        <v>Onion Leaf</v>
      </c>
      <c r="H435" s="7" t="str">
        <f>VLOOKUP(InputData[[#This Row],[PRODUCT ID]],MasterData[],3,0)</f>
        <v>Category05</v>
      </c>
      <c r="I435" s="7" t="str">
        <f>VLOOKUP(InputData[[#This Row],[PRODUCT ID]],MasterData[],4,0)</f>
        <v>Kg</v>
      </c>
      <c r="J435" s="7">
        <f>VLOOKUP(InputData[[#This Row],[PRODUCT ID]],MasterData[],5,0)</f>
        <v>72</v>
      </c>
      <c r="K435" s="8">
        <f>VLOOKUP(InputData[[#This Row],[PRODUCT ID]],MasterData[],6,0)</f>
        <v>79.92</v>
      </c>
      <c r="L435" s="8">
        <f>InputData[[#This Row],[BUYING PRIZE]]*InputData[[#This Row],[QUANTITY]]</f>
        <v>1080</v>
      </c>
      <c r="M435" s="8">
        <f>InputData[[#This Row],[SELLING PRICE]]*InputData[[#This Row],[QUANTITY]]*(1-InputData[[#This Row],[DISCOUNT %]])</f>
        <v>1198.8</v>
      </c>
      <c r="N435" s="7">
        <f>DAY(InputData[[#This Row],[DATE]])</f>
        <v>2</v>
      </c>
      <c r="O435" s="7" t="str">
        <f>TEXT(InputData[[#This Row],[DATE]],"MMM")</f>
        <v>Jan</v>
      </c>
      <c r="P435" s="7">
        <f>YEAR(InputData[[#This Row],[DATE]])</f>
        <v>2021</v>
      </c>
    </row>
    <row r="436" spans="1:16" x14ac:dyDescent="0.25">
      <c r="A436" s="3">
        <v>44280</v>
      </c>
      <c r="B436" s="4" t="s">
        <v>86</v>
      </c>
      <c r="C436" s="5">
        <v>2</v>
      </c>
      <c r="D436" s="5" t="s">
        <v>108</v>
      </c>
      <c r="E436" s="5" t="s">
        <v>106</v>
      </c>
      <c r="F436" s="6">
        <v>0</v>
      </c>
      <c r="G436" s="7" t="str">
        <f>VLOOKUP(InputData[[#This Row],[PRODUCT ID]],MasterData[],2,0)</f>
        <v>Onion Leaf</v>
      </c>
      <c r="H436" s="7" t="str">
        <f>VLOOKUP(InputData[[#This Row],[PRODUCT ID]],MasterData[],3,0)</f>
        <v>Category05</v>
      </c>
      <c r="I436" s="7" t="str">
        <f>VLOOKUP(InputData[[#This Row],[PRODUCT ID]],MasterData[],4,0)</f>
        <v>Kg</v>
      </c>
      <c r="J436" s="7">
        <f>VLOOKUP(InputData[[#This Row],[PRODUCT ID]],MasterData[],5,0)</f>
        <v>72</v>
      </c>
      <c r="K436" s="8">
        <f>VLOOKUP(InputData[[#This Row],[PRODUCT ID]],MasterData[],6,0)</f>
        <v>79.92</v>
      </c>
      <c r="L436" s="8">
        <f>InputData[[#This Row],[BUYING PRIZE]]*InputData[[#This Row],[QUANTITY]]</f>
        <v>144</v>
      </c>
      <c r="M436" s="8">
        <f>InputData[[#This Row],[SELLING PRICE]]*InputData[[#This Row],[QUANTITY]]*(1-InputData[[#This Row],[DISCOUNT %]])</f>
        <v>159.84</v>
      </c>
      <c r="N436" s="7">
        <f>DAY(InputData[[#This Row],[DATE]])</f>
        <v>25</v>
      </c>
      <c r="O436" s="7" t="str">
        <f>TEXT(InputData[[#This Row],[DATE]],"MMM")</f>
        <v>Mar</v>
      </c>
      <c r="P436" s="7">
        <f>YEAR(InputData[[#This Row],[DATE]])</f>
        <v>2021</v>
      </c>
    </row>
    <row r="437" spans="1:16" x14ac:dyDescent="0.25">
      <c r="A437" s="3">
        <v>44285</v>
      </c>
      <c r="B437" s="4" t="s">
        <v>86</v>
      </c>
      <c r="C437" s="5">
        <v>1</v>
      </c>
      <c r="D437" s="5" t="s">
        <v>106</v>
      </c>
      <c r="E437" s="5" t="s">
        <v>107</v>
      </c>
      <c r="F437" s="6">
        <v>0</v>
      </c>
      <c r="G437" s="7" t="str">
        <f>VLOOKUP(InputData[[#This Row],[PRODUCT ID]],MasterData[],2,0)</f>
        <v>Onion Leaf</v>
      </c>
      <c r="H437" s="7" t="str">
        <f>VLOOKUP(InputData[[#This Row],[PRODUCT ID]],MasterData[],3,0)</f>
        <v>Category05</v>
      </c>
      <c r="I437" s="7" t="str">
        <f>VLOOKUP(InputData[[#This Row],[PRODUCT ID]],MasterData[],4,0)</f>
        <v>Kg</v>
      </c>
      <c r="J437" s="7">
        <f>VLOOKUP(InputData[[#This Row],[PRODUCT ID]],MasterData[],5,0)</f>
        <v>72</v>
      </c>
      <c r="K437" s="8">
        <f>VLOOKUP(InputData[[#This Row],[PRODUCT ID]],MasterData[],6,0)</f>
        <v>79.92</v>
      </c>
      <c r="L437" s="8">
        <f>InputData[[#This Row],[BUYING PRIZE]]*InputData[[#This Row],[QUANTITY]]</f>
        <v>72</v>
      </c>
      <c r="M437" s="8">
        <f>InputData[[#This Row],[SELLING PRICE]]*InputData[[#This Row],[QUANTITY]]*(1-InputData[[#This Row],[DISCOUNT %]])</f>
        <v>79.92</v>
      </c>
      <c r="N437" s="7">
        <f>DAY(InputData[[#This Row],[DATE]])</f>
        <v>30</v>
      </c>
      <c r="O437" s="7" t="str">
        <f>TEXT(InputData[[#This Row],[DATE]],"MMM")</f>
        <v>Mar</v>
      </c>
      <c r="P437" s="7">
        <f>YEAR(InputData[[#This Row],[DATE]])</f>
        <v>2021</v>
      </c>
    </row>
    <row r="438" spans="1:16" x14ac:dyDescent="0.25">
      <c r="A438" s="3">
        <v>44304</v>
      </c>
      <c r="B438" s="4" t="s">
        <v>86</v>
      </c>
      <c r="C438" s="5">
        <v>9</v>
      </c>
      <c r="D438" s="5" t="s">
        <v>105</v>
      </c>
      <c r="E438" s="5" t="s">
        <v>106</v>
      </c>
      <c r="F438" s="6">
        <v>0</v>
      </c>
      <c r="G438" s="7" t="str">
        <f>VLOOKUP(InputData[[#This Row],[PRODUCT ID]],MasterData[],2,0)</f>
        <v>Onion Leaf</v>
      </c>
      <c r="H438" s="7" t="str">
        <f>VLOOKUP(InputData[[#This Row],[PRODUCT ID]],MasterData[],3,0)</f>
        <v>Category05</v>
      </c>
      <c r="I438" s="7" t="str">
        <f>VLOOKUP(InputData[[#This Row],[PRODUCT ID]],MasterData[],4,0)</f>
        <v>Kg</v>
      </c>
      <c r="J438" s="7">
        <f>VLOOKUP(InputData[[#This Row],[PRODUCT ID]],MasterData[],5,0)</f>
        <v>72</v>
      </c>
      <c r="K438" s="8">
        <f>VLOOKUP(InputData[[#This Row],[PRODUCT ID]],MasterData[],6,0)</f>
        <v>79.92</v>
      </c>
      <c r="L438" s="8">
        <f>InputData[[#This Row],[BUYING PRIZE]]*InputData[[#This Row],[QUANTITY]]</f>
        <v>648</v>
      </c>
      <c r="M438" s="8">
        <f>InputData[[#This Row],[SELLING PRICE]]*InputData[[#This Row],[QUANTITY]]*(1-InputData[[#This Row],[DISCOUNT %]])</f>
        <v>719.28</v>
      </c>
      <c r="N438" s="7">
        <f>DAY(InputData[[#This Row],[DATE]])</f>
        <v>18</v>
      </c>
      <c r="O438" s="7" t="str">
        <f>TEXT(InputData[[#This Row],[DATE]],"MMM")</f>
        <v>Apr</v>
      </c>
      <c r="P438" s="7">
        <f>YEAR(InputData[[#This Row],[DATE]])</f>
        <v>2021</v>
      </c>
    </row>
    <row r="439" spans="1:16" x14ac:dyDescent="0.25">
      <c r="A439" s="3">
        <v>44397</v>
      </c>
      <c r="B439" s="4" t="s">
        <v>86</v>
      </c>
      <c r="C439" s="5">
        <v>11</v>
      </c>
      <c r="D439" s="5" t="s">
        <v>106</v>
      </c>
      <c r="E439" s="5" t="s">
        <v>106</v>
      </c>
      <c r="F439" s="6">
        <v>0</v>
      </c>
      <c r="G439" s="7" t="str">
        <f>VLOOKUP(InputData[[#This Row],[PRODUCT ID]],MasterData[],2,0)</f>
        <v>Onion Leaf</v>
      </c>
      <c r="H439" s="7" t="str">
        <f>VLOOKUP(InputData[[#This Row],[PRODUCT ID]],MasterData[],3,0)</f>
        <v>Category05</v>
      </c>
      <c r="I439" s="7" t="str">
        <f>VLOOKUP(InputData[[#This Row],[PRODUCT ID]],MasterData[],4,0)</f>
        <v>Kg</v>
      </c>
      <c r="J439" s="7">
        <f>VLOOKUP(InputData[[#This Row],[PRODUCT ID]],MasterData[],5,0)</f>
        <v>72</v>
      </c>
      <c r="K439" s="8">
        <f>VLOOKUP(InputData[[#This Row],[PRODUCT ID]],MasterData[],6,0)</f>
        <v>79.92</v>
      </c>
      <c r="L439" s="8">
        <f>InputData[[#This Row],[BUYING PRIZE]]*InputData[[#This Row],[QUANTITY]]</f>
        <v>792</v>
      </c>
      <c r="M439" s="8">
        <f>InputData[[#This Row],[SELLING PRICE]]*InputData[[#This Row],[QUANTITY]]*(1-InputData[[#This Row],[DISCOUNT %]])</f>
        <v>879.12</v>
      </c>
      <c r="N439" s="7">
        <f>DAY(InputData[[#This Row],[DATE]])</f>
        <v>20</v>
      </c>
      <c r="O439" s="7" t="str">
        <f>TEXT(InputData[[#This Row],[DATE]],"MMM")</f>
        <v>Jul</v>
      </c>
      <c r="P439" s="7">
        <f>YEAR(InputData[[#This Row],[DATE]])</f>
        <v>2021</v>
      </c>
    </row>
    <row r="440" spans="1:16" x14ac:dyDescent="0.25">
      <c r="A440" s="3">
        <v>44478</v>
      </c>
      <c r="B440" s="4" t="s">
        <v>86</v>
      </c>
      <c r="C440" s="5">
        <v>5</v>
      </c>
      <c r="D440" s="5" t="s">
        <v>108</v>
      </c>
      <c r="E440" s="5" t="s">
        <v>107</v>
      </c>
      <c r="F440" s="6">
        <v>0</v>
      </c>
      <c r="G440" s="7" t="str">
        <f>VLOOKUP(InputData[[#This Row],[PRODUCT ID]],MasterData[],2,0)</f>
        <v>Onion Leaf</v>
      </c>
      <c r="H440" s="7" t="str">
        <f>VLOOKUP(InputData[[#This Row],[PRODUCT ID]],MasterData[],3,0)</f>
        <v>Category05</v>
      </c>
      <c r="I440" s="7" t="str">
        <f>VLOOKUP(InputData[[#This Row],[PRODUCT ID]],MasterData[],4,0)</f>
        <v>Kg</v>
      </c>
      <c r="J440" s="7">
        <f>VLOOKUP(InputData[[#This Row],[PRODUCT ID]],MasterData[],5,0)</f>
        <v>72</v>
      </c>
      <c r="K440" s="8">
        <f>VLOOKUP(InputData[[#This Row],[PRODUCT ID]],MasterData[],6,0)</f>
        <v>79.92</v>
      </c>
      <c r="L440" s="8">
        <f>InputData[[#This Row],[BUYING PRIZE]]*InputData[[#This Row],[QUANTITY]]</f>
        <v>360</v>
      </c>
      <c r="M440" s="8">
        <f>InputData[[#This Row],[SELLING PRICE]]*InputData[[#This Row],[QUANTITY]]*(1-InputData[[#This Row],[DISCOUNT %]])</f>
        <v>399.6</v>
      </c>
      <c r="N440" s="7">
        <f>DAY(InputData[[#This Row],[DATE]])</f>
        <v>9</v>
      </c>
      <c r="O440" s="7" t="str">
        <f>TEXT(InputData[[#This Row],[DATE]],"MMM")</f>
        <v>Oct</v>
      </c>
      <c r="P440" s="7">
        <f>YEAR(InputData[[#This Row],[DATE]])</f>
        <v>2021</v>
      </c>
    </row>
    <row r="441" spans="1:16" x14ac:dyDescent="0.25">
      <c r="A441" s="3">
        <v>44498</v>
      </c>
      <c r="B441" s="4" t="s">
        <v>86</v>
      </c>
      <c r="C441" s="5">
        <v>14</v>
      </c>
      <c r="D441" s="5" t="s">
        <v>106</v>
      </c>
      <c r="E441" s="5" t="s">
        <v>106</v>
      </c>
      <c r="F441" s="6">
        <v>0</v>
      </c>
      <c r="G441" s="7" t="str">
        <f>VLOOKUP(InputData[[#This Row],[PRODUCT ID]],MasterData[],2,0)</f>
        <v>Onion Leaf</v>
      </c>
      <c r="H441" s="7" t="str">
        <f>VLOOKUP(InputData[[#This Row],[PRODUCT ID]],MasterData[],3,0)</f>
        <v>Category05</v>
      </c>
      <c r="I441" s="7" t="str">
        <f>VLOOKUP(InputData[[#This Row],[PRODUCT ID]],MasterData[],4,0)</f>
        <v>Kg</v>
      </c>
      <c r="J441" s="7">
        <f>VLOOKUP(InputData[[#This Row],[PRODUCT ID]],MasterData[],5,0)</f>
        <v>72</v>
      </c>
      <c r="K441" s="8">
        <f>VLOOKUP(InputData[[#This Row],[PRODUCT ID]],MasterData[],6,0)</f>
        <v>79.92</v>
      </c>
      <c r="L441" s="8">
        <f>InputData[[#This Row],[BUYING PRIZE]]*InputData[[#This Row],[QUANTITY]]</f>
        <v>1008</v>
      </c>
      <c r="M441" s="8">
        <f>InputData[[#This Row],[SELLING PRICE]]*InputData[[#This Row],[QUANTITY]]*(1-InputData[[#This Row],[DISCOUNT %]])</f>
        <v>1118.8800000000001</v>
      </c>
      <c r="N441" s="7">
        <f>DAY(InputData[[#This Row],[DATE]])</f>
        <v>29</v>
      </c>
      <c r="O441" s="7" t="str">
        <f>TEXT(InputData[[#This Row],[DATE]],"MMM")</f>
        <v>Oct</v>
      </c>
      <c r="P441" s="7">
        <f>YEAR(InputData[[#This Row],[DATE]])</f>
        <v>2021</v>
      </c>
    </row>
    <row r="442" spans="1:16" x14ac:dyDescent="0.25">
      <c r="A442" s="3">
        <v>44699</v>
      </c>
      <c r="B442" s="4" t="s">
        <v>86</v>
      </c>
      <c r="C442" s="5">
        <v>8</v>
      </c>
      <c r="D442" s="5" t="s">
        <v>105</v>
      </c>
      <c r="E442" s="5" t="s">
        <v>106</v>
      </c>
      <c r="F442" s="6">
        <v>0</v>
      </c>
      <c r="G442" s="7" t="str">
        <f>VLOOKUP(InputData[[#This Row],[PRODUCT ID]],MasterData[],2,0)</f>
        <v>Onion Leaf</v>
      </c>
      <c r="H442" s="7" t="str">
        <f>VLOOKUP(InputData[[#This Row],[PRODUCT ID]],MasterData[],3,0)</f>
        <v>Category05</v>
      </c>
      <c r="I442" s="7" t="str">
        <f>VLOOKUP(InputData[[#This Row],[PRODUCT ID]],MasterData[],4,0)</f>
        <v>Kg</v>
      </c>
      <c r="J442" s="7">
        <f>VLOOKUP(InputData[[#This Row],[PRODUCT ID]],MasterData[],5,0)</f>
        <v>72</v>
      </c>
      <c r="K442" s="8">
        <f>VLOOKUP(InputData[[#This Row],[PRODUCT ID]],MasterData[],6,0)</f>
        <v>79.92</v>
      </c>
      <c r="L442" s="8">
        <f>InputData[[#This Row],[BUYING PRIZE]]*InputData[[#This Row],[QUANTITY]]</f>
        <v>576</v>
      </c>
      <c r="M442" s="8">
        <f>InputData[[#This Row],[SELLING PRICE]]*InputData[[#This Row],[QUANTITY]]*(1-InputData[[#This Row],[DISCOUNT %]])</f>
        <v>639.36</v>
      </c>
      <c r="N442" s="7">
        <f>DAY(InputData[[#This Row],[DATE]])</f>
        <v>18</v>
      </c>
      <c r="O442" s="7" t="str">
        <f>TEXT(InputData[[#This Row],[DATE]],"MMM")</f>
        <v>May</v>
      </c>
      <c r="P442" s="7">
        <f>YEAR(InputData[[#This Row],[DATE]])</f>
        <v>2022</v>
      </c>
    </row>
    <row r="443" spans="1:16" x14ac:dyDescent="0.25">
      <c r="A443" s="3">
        <v>44814</v>
      </c>
      <c r="B443" s="4" t="s">
        <v>86</v>
      </c>
      <c r="C443" s="5">
        <v>4</v>
      </c>
      <c r="D443" s="5" t="s">
        <v>108</v>
      </c>
      <c r="E443" s="5" t="s">
        <v>107</v>
      </c>
      <c r="F443" s="6">
        <v>0</v>
      </c>
      <c r="G443" s="7" t="str">
        <f>VLOOKUP(InputData[[#This Row],[PRODUCT ID]],MasterData[],2,0)</f>
        <v>Onion Leaf</v>
      </c>
      <c r="H443" s="7" t="str">
        <f>VLOOKUP(InputData[[#This Row],[PRODUCT ID]],MasterData[],3,0)</f>
        <v>Category05</v>
      </c>
      <c r="I443" s="7" t="str">
        <f>VLOOKUP(InputData[[#This Row],[PRODUCT ID]],MasterData[],4,0)</f>
        <v>Kg</v>
      </c>
      <c r="J443" s="7">
        <f>VLOOKUP(InputData[[#This Row],[PRODUCT ID]],MasterData[],5,0)</f>
        <v>72</v>
      </c>
      <c r="K443" s="8">
        <f>VLOOKUP(InputData[[#This Row],[PRODUCT ID]],MasterData[],6,0)</f>
        <v>79.92</v>
      </c>
      <c r="L443" s="8">
        <f>InputData[[#This Row],[BUYING PRIZE]]*InputData[[#This Row],[QUANTITY]]</f>
        <v>288</v>
      </c>
      <c r="M443" s="8">
        <f>InputData[[#This Row],[SELLING PRICE]]*InputData[[#This Row],[QUANTITY]]*(1-InputData[[#This Row],[DISCOUNT %]])</f>
        <v>319.68</v>
      </c>
      <c r="N443" s="7">
        <f>DAY(InputData[[#This Row],[DATE]])</f>
        <v>10</v>
      </c>
      <c r="O443" s="7" t="str">
        <f>TEXT(InputData[[#This Row],[DATE]],"MMM")</f>
        <v>Sep</v>
      </c>
      <c r="P443" s="7">
        <f>YEAR(InputData[[#This Row],[DATE]])</f>
        <v>2022</v>
      </c>
    </row>
    <row r="444" spans="1:16" x14ac:dyDescent="0.25">
      <c r="A444" s="3">
        <v>44831</v>
      </c>
      <c r="B444" s="4" t="s">
        <v>86</v>
      </c>
      <c r="C444" s="5">
        <v>3</v>
      </c>
      <c r="D444" s="5" t="s">
        <v>105</v>
      </c>
      <c r="E444" s="5" t="s">
        <v>107</v>
      </c>
      <c r="F444" s="6">
        <v>0</v>
      </c>
      <c r="G444" s="7" t="str">
        <f>VLOOKUP(InputData[[#This Row],[PRODUCT ID]],MasterData[],2,0)</f>
        <v>Onion Leaf</v>
      </c>
      <c r="H444" s="7" t="str">
        <f>VLOOKUP(InputData[[#This Row],[PRODUCT ID]],MasterData[],3,0)</f>
        <v>Category05</v>
      </c>
      <c r="I444" s="7" t="str">
        <f>VLOOKUP(InputData[[#This Row],[PRODUCT ID]],MasterData[],4,0)</f>
        <v>Kg</v>
      </c>
      <c r="J444" s="7">
        <f>VLOOKUP(InputData[[#This Row],[PRODUCT ID]],MasterData[],5,0)</f>
        <v>72</v>
      </c>
      <c r="K444" s="8">
        <f>VLOOKUP(InputData[[#This Row],[PRODUCT ID]],MasterData[],6,0)</f>
        <v>79.92</v>
      </c>
      <c r="L444" s="8">
        <f>InputData[[#This Row],[BUYING PRIZE]]*InputData[[#This Row],[QUANTITY]]</f>
        <v>216</v>
      </c>
      <c r="M444" s="8">
        <f>InputData[[#This Row],[SELLING PRICE]]*InputData[[#This Row],[QUANTITY]]*(1-InputData[[#This Row],[DISCOUNT %]])</f>
        <v>239.76</v>
      </c>
      <c r="N444" s="7">
        <f>DAY(InputData[[#This Row],[DATE]])</f>
        <v>27</v>
      </c>
      <c r="O444" s="7" t="str">
        <f>TEXT(InputData[[#This Row],[DATE]],"MMM")</f>
        <v>Sep</v>
      </c>
      <c r="P444" s="7">
        <f>YEAR(InputData[[#This Row],[DATE]])</f>
        <v>2022</v>
      </c>
    </row>
    <row r="445" spans="1:16" x14ac:dyDescent="0.25">
      <c r="A445" s="3">
        <v>44843</v>
      </c>
      <c r="B445" s="4" t="s">
        <v>86</v>
      </c>
      <c r="C445" s="5">
        <v>14</v>
      </c>
      <c r="D445" s="5" t="s">
        <v>106</v>
      </c>
      <c r="E445" s="5" t="s">
        <v>106</v>
      </c>
      <c r="F445" s="6">
        <v>0</v>
      </c>
      <c r="G445" s="7" t="str">
        <f>VLOOKUP(InputData[[#This Row],[PRODUCT ID]],MasterData[],2,0)</f>
        <v>Onion Leaf</v>
      </c>
      <c r="H445" s="7" t="str">
        <f>VLOOKUP(InputData[[#This Row],[PRODUCT ID]],MasterData[],3,0)</f>
        <v>Category05</v>
      </c>
      <c r="I445" s="7" t="str">
        <f>VLOOKUP(InputData[[#This Row],[PRODUCT ID]],MasterData[],4,0)</f>
        <v>Kg</v>
      </c>
      <c r="J445" s="7">
        <f>VLOOKUP(InputData[[#This Row],[PRODUCT ID]],MasterData[],5,0)</f>
        <v>72</v>
      </c>
      <c r="K445" s="8">
        <f>VLOOKUP(InputData[[#This Row],[PRODUCT ID]],MasterData[],6,0)</f>
        <v>79.92</v>
      </c>
      <c r="L445" s="8">
        <f>InputData[[#This Row],[BUYING PRIZE]]*InputData[[#This Row],[QUANTITY]]</f>
        <v>1008</v>
      </c>
      <c r="M445" s="8">
        <f>InputData[[#This Row],[SELLING PRICE]]*InputData[[#This Row],[QUANTITY]]*(1-InputData[[#This Row],[DISCOUNT %]])</f>
        <v>1118.8800000000001</v>
      </c>
      <c r="N445" s="7">
        <f>DAY(InputData[[#This Row],[DATE]])</f>
        <v>9</v>
      </c>
      <c r="O445" s="7" t="str">
        <f>TEXT(InputData[[#This Row],[DATE]],"MMM")</f>
        <v>Oct</v>
      </c>
      <c r="P445" s="7">
        <f>YEAR(InputData[[#This Row],[DATE]])</f>
        <v>2022</v>
      </c>
    </row>
    <row r="446" spans="1:16" x14ac:dyDescent="0.25">
      <c r="A446" s="3">
        <v>44865</v>
      </c>
      <c r="B446" s="4" t="s">
        <v>86</v>
      </c>
      <c r="C446" s="5">
        <v>8</v>
      </c>
      <c r="D446" s="5" t="s">
        <v>108</v>
      </c>
      <c r="E446" s="5" t="s">
        <v>106</v>
      </c>
      <c r="F446" s="6">
        <v>0</v>
      </c>
      <c r="G446" s="7" t="str">
        <f>VLOOKUP(InputData[[#This Row],[PRODUCT ID]],MasterData[],2,0)</f>
        <v>Onion Leaf</v>
      </c>
      <c r="H446" s="7" t="str">
        <f>VLOOKUP(InputData[[#This Row],[PRODUCT ID]],MasterData[],3,0)</f>
        <v>Category05</v>
      </c>
      <c r="I446" s="7" t="str">
        <f>VLOOKUP(InputData[[#This Row],[PRODUCT ID]],MasterData[],4,0)</f>
        <v>Kg</v>
      </c>
      <c r="J446" s="7">
        <f>VLOOKUP(InputData[[#This Row],[PRODUCT ID]],MasterData[],5,0)</f>
        <v>72</v>
      </c>
      <c r="K446" s="8">
        <f>VLOOKUP(InputData[[#This Row],[PRODUCT ID]],MasterData[],6,0)</f>
        <v>79.92</v>
      </c>
      <c r="L446" s="8">
        <f>InputData[[#This Row],[BUYING PRIZE]]*InputData[[#This Row],[QUANTITY]]</f>
        <v>576</v>
      </c>
      <c r="M446" s="8">
        <f>InputData[[#This Row],[SELLING PRICE]]*InputData[[#This Row],[QUANTITY]]*(1-InputData[[#This Row],[DISCOUNT %]])</f>
        <v>639.36</v>
      </c>
      <c r="N446" s="7">
        <f>DAY(InputData[[#This Row],[DATE]])</f>
        <v>31</v>
      </c>
      <c r="O446" s="7" t="str">
        <f>TEXT(InputData[[#This Row],[DATE]],"MMM")</f>
        <v>Oct</v>
      </c>
      <c r="P446" s="7">
        <f>YEAR(InputData[[#This Row],[DATE]])</f>
        <v>2022</v>
      </c>
    </row>
    <row r="447" spans="1:16" x14ac:dyDescent="0.25">
      <c r="A447" s="3">
        <v>44902</v>
      </c>
      <c r="B447" s="4" t="s">
        <v>86</v>
      </c>
      <c r="C447" s="5">
        <v>12</v>
      </c>
      <c r="D447" s="5" t="s">
        <v>108</v>
      </c>
      <c r="E447" s="5" t="s">
        <v>107</v>
      </c>
      <c r="F447" s="6">
        <v>0</v>
      </c>
      <c r="G447" s="7" t="str">
        <f>VLOOKUP(InputData[[#This Row],[PRODUCT ID]],MasterData[],2,0)</f>
        <v>Onion Leaf</v>
      </c>
      <c r="H447" s="7" t="str">
        <f>VLOOKUP(InputData[[#This Row],[PRODUCT ID]],MasterData[],3,0)</f>
        <v>Category05</v>
      </c>
      <c r="I447" s="7" t="str">
        <f>VLOOKUP(InputData[[#This Row],[PRODUCT ID]],MasterData[],4,0)</f>
        <v>Kg</v>
      </c>
      <c r="J447" s="7">
        <f>VLOOKUP(InputData[[#This Row],[PRODUCT ID]],MasterData[],5,0)</f>
        <v>72</v>
      </c>
      <c r="K447" s="8">
        <f>VLOOKUP(InputData[[#This Row],[PRODUCT ID]],MasterData[],6,0)</f>
        <v>79.92</v>
      </c>
      <c r="L447" s="8">
        <f>InputData[[#This Row],[BUYING PRIZE]]*InputData[[#This Row],[QUANTITY]]</f>
        <v>864</v>
      </c>
      <c r="M447" s="8">
        <f>InputData[[#This Row],[SELLING PRICE]]*InputData[[#This Row],[QUANTITY]]*(1-InputData[[#This Row],[DISCOUNT %]])</f>
        <v>959.04</v>
      </c>
      <c r="N447" s="7">
        <f>DAY(InputData[[#This Row],[DATE]])</f>
        <v>7</v>
      </c>
      <c r="O447" s="7" t="str">
        <f>TEXT(InputData[[#This Row],[DATE]],"MMM")</f>
        <v>Dec</v>
      </c>
      <c r="P447" s="7">
        <f>YEAR(InputData[[#This Row],[DATE]])</f>
        <v>2022</v>
      </c>
    </row>
    <row r="448" spans="1:16" x14ac:dyDescent="0.25">
      <c r="A448" s="3">
        <v>44902</v>
      </c>
      <c r="B448" s="4" t="s">
        <v>86</v>
      </c>
      <c r="C448" s="5">
        <v>5</v>
      </c>
      <c r="D448" s="5" t="s">
        <v>108</v>
      </c>
      <c r="E448" s="5" t="s">
        <v>107</v>
      </c>
      <c r="F448" s="6">
        <v>0</v>
      </c>
      <c r="G448" s="7" t="str">
        <f>VLOOKUP(InputData[[#This Row],[PRODUCT ID]],MasterData[],2,0)</f>
        <v>Onion Leaf</v>
      </c>
      <c r="H448" s="7" t="str">
        <f>VLOOKUP(InputData[[#This Row],[PRODUCT ID]],MasterData[],3,0)</f>
        <v>Category05</v>
      </c>
      <c r="I448" s="7" t="str">
        <f>VLOOKUP(InputData[[#This Row],[PRODUCT ID]],MasterData[],4,0)</f>
        <v>Kg</v>
      </c>
      <c r="J448" s="7">
        <f>VLOOKUP(InputData[[#This Row],[PRODUCT ID]],MasterData[],5,0)</f>
        <v>72</v>
      </c>
      <c r="K448" s="8">
        <f>VLOOKUP(InputData[[#This Row],[PRODUCT ID]],MasterData[],6,0)</f>
        <v>79.92</v>
      </c>
      <c r="L448" s="8">
        <f>InputData[[#This Row],[BUYING PRIZE]]*InputData[[#This Row],[QUANTITY]]</f>
        <v>360</v>
      </c>
      <c r="M448" s="8">
        <f>InputData[[#This Row],[SELLING PRICE]]*InputData[[#This Row],[QUANTITY]]*(1-InputData[[#This Row],[DISCOUNT %]])</f>
        <v>399.6</v>
      </c>
      <c r="N448" s="7">
        <f>DAY(InputData[[#This Row],[DATE]])</f>
        <v>7</v>
      </c>
      <c r="O448" s="7" t="str">
        <f>TEXT(InputData[[#This Row],[DATE]],"MMM")</f>
        <v>Dec</v>
      </c>
      <c r="P448" s="7">
        <f>YEAR(InputData[[#This Row],[DATE]])</f>
        <v>2022</v>
      </c>
    </row>
    <row r="449" spans="1:16" x14ac:dyDescent="0.25">
      <c r="A449" s="3">
        <v>44270</v>
      </c>
      <c r="B449" s="4" t="s">
        <v>88</v>
      </c>
      <c r="C449" s="5">
        <v>11</v>
      </c>
      <c r="D449" s="5" t="s">
        <v>106</v>
      </c>
      <c r="E449" s="5" t="s">
        <v>107</v>
      </c>
      <c r="F449" s="6">
        <v>0</v>
      </c>
      <c r="G449" s="7" t="str">
        <f>VLOOKUP(InputData[[#This Row],[PRODUCT ID]],MasterData[],2,0)</f>
        <v>Cabbage</v>
      </c>
      <c r="H449" s="7" t="str">
        <f>VLOOKUP(InputData[[#This Row],[PRODUCT ID]],MasterData[],3,0)</f>
        <v>Category05</v>
      </c>
      <c r="I449" s="7" t="str">
        <f>VLOOKUP(InputData[[#This Row],[PRODUCT ID]],MasterData[],4,0)</f>
        <v>No.</v>
      </c>
      <c r="J449" s="7">
        <f>VLOOKUP(InputData[[#This Row],[PRODUCT ID]],MasterData[],5,0)</f>
        <v>37</v>
      </c>
      <c r="K449" s="8">
        <f>VLOOKUP(InputData[[#This Row],[PRODUCT ID]],MasterData[],6,0)</f>
        <v>42.55</v>
      </c>
      <c r="L449" s="8">
        <f>InputData[[#This Row],[BUYING PRIZE]]*InputData[[#This Row],[QUANTITY]]</f>
        <v>407</v>
      </c>
      <c r="M449" s="8">
        <f>InputData[[#This Row],[SELLING PRICE]]*InputData[[#This Row],[QUANTITY]]*(1-InputData[[#This Row],[DISCOUNT %]])</f>
        <v>468.04999999999995</v>
      </c>
      <c r="N449" s="7">
        <f>DAY(InputData[[#This Row],[DATE]])</f>
        <v>15</v>
      </c>
      <c r="O449" s="7" t="str">
        <f>TEXT(InputData[[#This Row],[DATE]],"MMM")</f>
        <v>Mar</v>
      </c>
      <c r="P449" s="7">
        <f>YEAR(InputData[[#This Row],[DATE]])</f>
        <v>2021</v>
      </c>
    </row>
    <row r="450" spans="1:16" x14ac:dyDescent="0.25">
      <c r="A450" s="3">
        <v>44276</v>
      </c>
      <c r="B450" s="4" t="s">
        <v>88</v>
      </c>
      <c r="C450" s="5">
        <v>7</v>
      </c>
      <c r="D450" s="5" t="s">
        <v>108</v>
      </c>
      <c r="E450" s="5" t="s">
        <v>106</v>
      </c>
      <c r="F450" s="6">
        <v>0</v>
      </c>
      <c r="G450" s="7" t="str">
        <f>VLOOKUP(InputData[[#This Row],[PRODUCT ID]],MasterData[],2,0)</f>
        <v>Cabbage</v>
      </c>
      <c r="H450" s="7" t="str">
        <f>VLOOKUP(InputData[[#This Row],[PRODUCT ID]],MasterData[],3,0)</f>
        <v>Category05</v>
      </c>
      <c r="I450" s="7" t="str">
        <f>VLOOKUP(InputData[[#This Row],[PRODUCT ID]],MasterData[],4,0)</f>
        <v>No.</v>
      </c>
      <c r="J450" s="7">
        <f>VLOOKUP(InputData[[#This Row],[PRODUCT ID]],MasterData[],5,0)</f>
        <v>37</v>
      </c>
      <c r="K450" s="8">
        <f>VLOOKUP(InputData[[#This Row],[PRODUCT ID]],MasterData[],6,0)</f>
        <v>42.55</v>
      </c>
      <c r="L450" s="8">
        <f>InputData[[#This Row],[BUYING PRIZE]]*InputData[[#This Row],[QUANTITY]]</f>
        <v>259</v>
      </c>
      <c r="M450" s="8">
        <f>InputData[[#This Row],[SELLING PRICE]]*InputData[[#This Row],[QUANTITY]]*(1-InputData[[#This Row],[DISCOUNT %]])</f>
        <v>297.84999999999997</v>
      </c>
      <c r="N450" s="7">
        <f>DAY(InputData[[#This Row],[DATE]])</f>
        <v>21</v>
      </c>
      <c r="O450" s="7" t="str">
        <f>TEXT(InputData[[#This Row],[DATE]],"MMM")</f>
        <v>Mar</v>
      </c>
      <c r="P450" s="7">
        <f>YEAR(InputData[[#This Row],[DATE]])</f>
        <v>2021</v>
      </c>
    </row>
    <row r="451" spans="1:16" x14ac:dyDescent="0.25">
      <c r="A451" s="3">
        <v>44363</v>
      </c>
      <c r="B451" s="4" t="s">
        <v>88</v>
      </c>
      <c r="C451" s="5">
        <v>11</v>
      </c>
      <c r="D451" s="5" t="s">
        <v>108</v>
      </c>
      <c r="E451" s="5" t="s">
        <v>107</v>
      </c>
      <c r="F451" s="6">
        <v>0</v>
      </c>
      <c r="G451" s="7" t="str">
        <f>VLOOKUP(InputData[[#This Row],[PRODUCT ID]],MasterData[],2,0)</f>
        <v>Cabbage</v>
      </c>
      <c r="H451" s="7" t="str">
        <f>VLOOKUP(InputData[[#This Row],[PRODUCT ID]],MasterData[],3,0)</f>
        <v>Category05</v>
      </c>
      <c r="I451" s="7" t="str">
        <f>VLOOKUP(InputData[[#This Row],[PRODUCT ID]],MasterData[],4,0)</f>
        <v>No.</v>
      </c>
      <c r="J451" s="7">
        <f>VLOOKUP(InputData[[#This Row],[PRODUCT ID]],MasterData[],5,0)</f>
        <v>37</v>
      </c>
      <c r="K451" s="8">
        <f>VLOOKUP(InputData[[#This Row],[PRODUCT ID]],MasterData[],6,0)</f>
        <v>42.55</v>
      </c>
      <c r="L451" s="8">
        <f>InputData[[#This Row],[BUYING PRIZE]]*InputData[[#This Row],[QUANTITY]]</f>
        <v>407</v>
      </c>
      <c r="M451" s="8">
        <f>InputData[[#This Row],[SELLING PRICE]]*InputData[[#This Row],[QUANTITY]]*(1-InputData[[#This Row],[DISCOUNT %]])</f>
        <v>468.04999999999995</v>
      </c>
      <c r="N451" s="7">
        <f>DAY(InputData[[#This Row],[DATE]])</f>
        <v>16</v>
      </c>
      <c r="O451" s="7" t="str">
        <f>TEXT(InputData[[#This Row],[DATE]],"MMM")</f>
        <v>Jun</v>
      </c>
      <c r="P451" s="7">
        <f>YEAR(InputData[[#This Row],[DATE]])</f>
        <v>2021</v>
      </c>
    </row>
    <row r="452" spans="1:16" x14ac:dyDescent="0.25">
      <c r="A452" s="3">
        <v>44434</v>
      </c>
      <c r="B452" s="4" t="s">
        <v>88</v>
      </c>
      <c r="C452" s="5">
        <v>4</v>
      </c>
      <c r="D452" s="5" t="s">
        <v>108</v>
      </c>
      <c r="E452" s="5" t="s">
        <v>106</v>
      </c>
      <c r="F452" s="6">
        <v>0</v>
      </c>
      <c r="G452" s="7" t="str">
        <f>VLOOKUP(InputData[[#This Row],[PRODUCT ID]],MasterData[],2,0)</f>
        <v>Cabbage</v>
      </c>
      <c r="H452" s="7" t="str">
        <f>VLOOKUP(InputData[[#This Row],[PRODUCT ID]],MasterData[],3,0)</f>
        <v>Category05</v>
      </c>
      <c r="I452" s="7" t="str">
        <f>VLOOKUP(InputData[[#This Row],[PRODUCT ID]],MasterData[],4,0)</f>
        <v>No.</v>
      </c>
      <c r="J452" s="7">
        <f>VLOOKUP(InputData[[#This Row],[PRODUCT ID]],MasterData[],5,0)</f>
        <v>37</v>
      </c>
      <c r="K452" s="8">
        <f>VLOOKUP(InputData[[#This Row],[PRODUCT ID]],MasterData[],6,0)</f>
        <v>42.55</v>
      </c>
      <c r="L452" s="8">
        <f>InputData[[#This Row],[BUYING PRIZE]]*InputData[[#This Row],[QUANTITY]]</f>
        <v>148</v>
      </c>
      <c r="M452" s="8">
        <f>InputData[[#This Row],[SELLING PRICE]]*InputData[[#This Row],[QUANTITY]]*(1-InputData[[#This Row],[DISCOUNT %]])</f>
        <v>170.2</v>
      </c>
      <c r="N452" s="7">
        <f>DAY(InputData[[#This Row],[DATE]])</f>
        <v>26</v>
      </c>
      <c r="O452" s="7" t="str">
        <f>TEXT(InputData[[#This Row],[DATE]],"MMM")</f>
        <v>Aug</v>
      </c>
      <c r="P452" s="7">
        <f>YEAR(InputData[[#This Row],[DATE]])</f>
        <v>2021</v>
      </c>
    </row>
    <row r="453" spans="1:16" x14ac:dyDescent="0.25">
      <c r="A453" s="3">
        <v>44530</v>
      </c>
      <c r="B453" s="4" t="s">
        <v>88</v>
      </c>
      <c r="C453" s="5">
        <v>15</v>
      </c>
      <c r="D453" s="5" t="s">
        <v>108</v>
      </c>
      <c r="E453" s="5" t="s">
        <v>106</v>
      </c>
      <c r="F453" s="6">
        <v>0</v>
      </c>
      <c r="G453" s="7" t="str">
        <f>VLOOKUP(InputData[[#This Row],[PRODUCT ID]],MasterData[],2,0)</f>
        <v>Cabbage</v>
      </c>
      <c r="H453" s="7" t="str">
        <f>VLOOKUP(InputData[[#This Row],[PRODUCT ID]],MasterData[],3,0)</f>
        <v>Category05</v>
      </c>
      <c r="I453" s="7" t="str">
        <f>VLOOKUP(InputData[[#This Row],[PRODUCT ID]],MasterData[],4,0)</f>
        <v>No.</v>
      </c>
      <c r="J453" s="7">
        <f>VLOOKUP(InputData[[#This Row],[PRODUCT ID]],MasterData[],5,0)</f>
        <v>37</v>
      </c>
      <c r="K453" s="8">
        <f>VLOOKUP(InputData[[#This Row],[PRODUCT ID]],MasterData[],6,0)</f>
        <v>42.55</v>
      </c>
      <c r="L453" s="8">
        <f>InputData[[#This Row],[BUYING PRIZE]]*InputData[[#This Row],[QUANTITY]]</f>
        <v>555</v>
      </c>
      <c r="M453" s="8">
        <f>InputData[[#This Row],[SELLING PRICE]]*InputData[[#This Row],[QUANTITY]]*(1-InputData[[#This Row],[DISCOUNT %]])</f>
        <v>638.25</v>
      </c>
      <c r="N453" s="7">
        <f>DAY(InputData[[#This Row],[DATE]])</f>
        <v>30</v>
      </c>
      <c r="O453" s="7" t="str">
        <f>TEXT(InputData[[#This Row],[DATE]],"MMM")</f>
        <v>Nov</v>
      </c>
      <c r="P453" s="7">
        <f>YEAR(InputData[[#This Row],[DATE]])</f>
        <v>2021</v>
      </c>
    </row>
    <row r="454" spans="1:16" x14ac:dyDescent="0.25">
      <c r="A454" s="3">
        <v>44660</v>
      </c>
      <c r="B454" s="4" t="s">
        <v>88</v>
      </c>
      <c r="C454" s="5">
        <v>12</v>
      </c>
      <c r="D454" s="5" t="s">
        <v>105</v>
      </c>
      <c r="E454" s="5" t="s">
        <v>107</v>
      </c>
      <c r="F454" s="6">
        <v>0</v>
      </c>
      <c r="G454" s="7" t="str">
        <f>VLOOKUP(InputData[[#This Row],[PRODUCT ID]],MasterData[],2,0)</f>
        <v>Cabbage</v>
      </c>
      <c r="H454" s="7" t="str">
        <f>VLOOKUP(InputData[[#This Row],[PRODUCT ID]],MasterData[],3,0)</f>
        <v>Category05</v>
      </c>
      <c r="I454" s="7" t="str">
        <f>VLOOKUP(InputData[[#This Row],[PRODUCT ID]],MasterData[],4,0)</f>
        <v>No.</v>
      </c>
      <c r="J454" s="7">
        <f>VLOOKUP(InputData[[#This Row],[PRODUCT ID]],MasterData[],5,0)</f>
        <v>37</v>
      </c>
      <c r="K454" s="8">
        <f>VLOOKUP(InputData[[#This Row],[PRODUCT ID]],MasterData[],6,0)</f>
        <v>42.55</v>
      </c>
      <c r="L454" s="8">
        <f>InputData[[#This Row],[BUYING PRIZE]]*InputData[[#This Row],[QUANTITY]]</f>
        <v>444</v>
      </c>
      <c r="M454" s="8">
        <f>InputData[[#This Row],[SELLING PRICE]]*InputData[[#This Row],[QUANTITY]]*(1-InputData[[#This Row],[DISCOUNT %]])</f>
        <v>510.59999999999997</v>
      </c>
      <c r="N454" s="7">
        <f>DAY(InputData[[#This Row],[DATE]])</f>
        <v>9</v>
      </c>
      <c r="O454" s="7" t="str">
        <f>TEXT(InputData[[#This Row],[DATE]],"MMM")</f>
        <v>Apr</v>
      </c>
      <c r="P454" s="7">
        <f>YEAR(InputData[[#This Row],[DATE]])</f>
        <v>2022</v>
      </c>
    </row>
    <row r="455" spans="1:16" x14ac:dyDescent="0.25">
      <c r="A455" s="3">
        <v>44723</v>
      </c>
      <c r="B455" s="4" t="s">
        <v>88</v>
      </c>
      <c r="C455" s="5">
        <v>13</v>
      </c>
      <c r="D455" s="5" t="s">
        <v>106</v>
      </c>
      <c r="E455" s="5" t="s">
        <v>107</v>
      </c>
      <c r="F455" s="6">
        <v>0</v>
      </c>
      <c r="G455" s="7" t="str">
        <f>VLOOKUP(InputData[[#This Row],[PRODUCT ID]],MasterData[],2,0)</f>
        <v>Cabbage</v>
      </c>
      <c r="H455" s="7" t="str">
        <f>VLOOKUP(InputData[[#This Row],[PRODUCT ID]],MasterData[],3,0)</f>
        <v>Category05</v>
      </c>
      <c r="I455" s="7" t="str">
        <f>VLOOKUP(InputData[[#This Row],[PRODUCT ID]],MasterData[],4,0)</f>
        <v>No.</v>
      </c>
      <c r="J455" s="7">
        <f>VLOOKUP(InputData[[#This Row],[PRODUCT ID]],MasterData[],5,0)</f>
        <v>37</v>
      </c>
      <c r="K455" s="8">
        <f>VLOOKUP(InputData[[#This Row],[PRODUCT ID]],MasterData[],6,0)</f>
        <v>42.55</v>
      </c>
      <c r="L455" s="8">
        <f>InputData[[#This Row],[BUYING PRIZE]]*InputData[[#This Row],[QUANTITY]]</f>
        <v>481</v>
      </c>
      <c r="M455" s="8">
        <f>InputData[[#This Row],[SELLING PRICE]]*InputData[[#This Row],[QUANTITY]]*(1-InputData[[#This Row],[DISCOUNT %]])</f>
        <v>553.15</v>
      </c>
      <c r="N455" s="7">
        <f>DAY(InputData[[#This Row],[DATE]])</f>
        <v>11</v>
      </c>
      <c r="O455" s="7" t="str">
        <f>TEXT(InputData[[#This Row],[DATE]],"MMM")</f>
        <v>Jun</v>
      </c>
      <c r="P455" s="7">
        <f>YEAR(InputData[[#This Row],[DATE]])</f>
        <v>2022</v>
      </c>
    </row>
    <row r="456" spans="1:16" x14ac:dyDescent="0.25">
      <c r="A456" s="3">
        <v>44800</v>
      </c>
      <c r="B456" s="4" t="s">
        <v>88</v>
      </c>
      <c r="C456" s="5">
        <v>15</v>
      </c>
      <c r="D456" s="5" t="s">
        <v>105</v>
      </c>
      <c r="E456" s="5" t="s">
        <v>106</v>
      </c>
      <c r="F456" s="6">
        <v>0</v>
      </c>
      <c r="G456" s="7" t="str">
        <f>VLOOKUP(InputData[[#This Row],[PRODUCT ID]],MasterData[],2,0)</f>
        <v>Cabbage</v>
      </c>
      <c r="H456" s="7" t="str">
        <f>VLOOKUP(InputData[[#This Row],[PRODUCT ID]],MasterData[],3,0)</f>
        <v>Category05</v>
      </c>
      <c r="I456" s="7" t="str">
        <f>VLOOKUP(InputData[[#This Row],[PRODUCT ID]],MasterData[],4,0)</f>
        <v>No.</v>
      </c>
      <c r="J456" s="7">
        <f>VLOOKUP(InputData[[#This Row],[PRODUCT ID]],MasterData[],5,0)</f>
        <v>37</v>
      </c>
      <c r="K456" s="8">
        <f>VLOOKUP(InputData[[#This Row],[PRODUCT ID]],MasterData[],6,0)</f>
        <v>42.55</v>
      </c>
      <c r="L456" s="8">
        <f>InputData[[#This Row],[BUYING PRIZE]]*InputData[[#This Row],[QUANTITY]]</f>
        <v>555</v>
      </c>
      <c r="M456" s="8">
        <f>InputData[[#This Row],[SELLING PRICE]]*InputData[[#This Row],[QUANTITY]]*(1-InputData[[#This Row],[DISCOUNT %]])</f>
        <v>638.25</v>
      </c>
      <c r="N456" s="7">
        <f>DAY(InputData[[#This Row],[DATE]])</f>
        <v>27</v>
      </c>
      <c r="O456" s="7" t="str">
        <f>TEXT(InputData[[#This Row],[DATE]],"MMM")</f>
        <v>Aug</v>
      </c>
      <c r="P456" s="7">
        <f>YEAR(InputData[[#This Row],[DATE]])</f>
        <v>2022</v>
      </c>
    </row>
    <row r="457" spans="1:16" x14ac:dyDescent="0.25">
      <c r="A457" s="3">
        <v>44801</v>
      </c>
      <c r="B457" s="4" t="s">
        <v>88</v>
      </c>
      <c r="C457" s="5">
        <v>5</v>
      </c>
      <c r="D457" s="5" t="s">
        <v>108</v>
      </c>
      <c r="E457" s="5" t="s">
        <v>106</v>
      </c>
      <c r="F457" s="6">
        <v>0</v>
      </c>
      <c r="G457" s="7" t="str">
        <f>VLOOKUP(InputData[[#This Row],[PRODUCT ID]],MasterData[],2,0)</f>
        <v>Cabbage</v>
      </c>
      <c r="H457" s="7" t="str">
        <f>VLOOKUP(InputData[[#This Row],[PRODUCT ID]],MasterData[],3,0)</f>
        <v>Category05</v>
      </c>
      <c r="I457" s="7" t="str">
        <f>VLOOKUP(InputData[[#This Row],[PRODUCT ID]],MasterData[],4,0)</f>
        <v>No.</v>
      </c>
      <c r="J457" s="7">
        <f>VLOOKUP(InputData[[#This Row],[PRODUCT ID]],MasterData[],5,0)</f>
        <v>37</v>
      </c>
      <c r="K457" s="8">
        <f>VLOOKUP(InputData[[#This Row],[PRODUCT ID]],MasterData[],6,0)</f>
        <v>42.55</v>
      </c>
      <c r="L457" s="8">
        <f>InputData[[#This Row],[BUYING PRIZE]]*InputData[[#This Row],[QUANTITY]]</f>
        <v>185</v>
      </c>
      <c r="M457" s="8">
        <f>InputData[[#This Row],[SELLING PRICE]]*InputData[[#This Row],[QUANTITY]]*(1-InputData[[#This Row],[DISCOUNT %]])</f>
        <v>212.75</v>
      </c>
      <c r="N457" s="7">
        <f>DAY(InputData[[#This Row],[DATE]])</f>
        <v>28</v>
      </c>
      <c r="O457" s="7" t="str">
        <f>TEXT(InputData[[#This Row],[DATE]],"MMM")</f>
        <v>Aug</v>
      </c>
      <c r="P457" s="7">
        <f>YEAR(InputData[[#This Row],[DATE]])</f>
        <v>2022</v>
      </c>
    </row>
    <row r="458" spans="1:16" x14ac:dyDescent="0.25">
      <c r="A458" s="3">
        <v>44223</v>
      </c>
      <c r="B458" s="4" t="s">
        <v>90</v>
      </c>
      <c r="C458" s="5">
        <v>7</v>
      </c>
      <c r="D458" s="5" t="s">
        <v>105</v>
      </c>
      <c r="E458" s="5" t="s">
        <v>106</v>
      </c>
      <c r="F458" s="6">
        <v>0</v>
      </c>
      <c r="G458" s="7" t="str">
        <f>VLOOKUP(InputData[[#This Row],[PRODUCT ID]],MasterData[],2,0)</f>
        <v>Apples</v>
      </c>
      <c r="H458" s="7" t="str">
        <f>VLOOKUP(InputData[[#This Row],[PRODUCT ID]],MasterData[],3,0)</f>
        <v>Category05</v>
      </c>
      <c r="I458" s="7" t="str">
        <f>VLOOKUP(InputData[[#This Row],[PRODUCT ID]],MasterData[],4,0)</f>
        <v>Kg</v>
      </c>
      <c r="J458" s="7">
        <f>VLOOKUP(InputData[[#This Row],[PRODUCT ID]],MasterData[],5,0)</f>
        <v>90</v>
      </c>
      <c r="K458" s="8">
        <f>VLOOKUP(InputData[[#This Row],[PRODUCT ID]],MasterData[],6,0)</f>
        <v>115.2</v>
      </c>
      <c r="L458" s="8">
        <f>InputData[[#This Row],[BUYING PRIZE]]*InputData[[#This Row],[QUANTITY]]</f>
        <v>630</v>
      </c>
      <c r="M458" s="8">
        <f>InputData[[#This Row],[SELLING PRICE]]*InputData[[#This Row],[QUANTITY]]*(1-InputData[[#This Row],[DISCOUNT %]])</f>
        <v>806.4</v>
      </c>
      <c r="N458" s="7">
        <f>DAY(InputData[[#This Row],[DATE]])</f>
        <v>27</v>
      </c>
      <c r="O458" s="7" t="str">
        <f>TEXT(InputData[[#This Row],[DATE]],"MMM")</f>
        <v>Jan</v>
      </c>
      <c r="P458" s="7">
        <f>YEAR(InputData[[#This Row],[DATE]])</f>
        <v>2021</v>
      </c>
    </row>
    <row r="459" spans="1:16" x14ac:dyDescent="0.25">
      <c r="A459" s="3">
        <v>44290</v>
      </c>
      <c r="B459" s="4" t="s">
        <v>90</v>
      </c>
      <c r="C459" s="5">
        <v>4</v>
      </c>
      <c r="D459" s="5" t="s">
        <v>108</v>
      </c>
      <c r="E459" s="5" t="s">
        <v>107</v>
      </c>
      <c r="F459" s="6">
        <v>0</v>
      </c>
      <c r="G459" s="7" t="str">
        <f>VLOOKUP(InputData[[#This Row],[PRODUCT ID]],MasterData[],2,0)</f>
        <v>Apples</v>
      </c>
      <c r="H459" s="7" t="str">
        <f>VLOOKUP(InputData[[#This Row],[PRODUCT ID]],MasterData[],3,0)</f>
        <v>Category05</v>
      </c>
      <c r="I459" s="7" t="str">
        <f>VLOOKUP(InputData[[#This Row],[PRODUCT ID]],MasterData[],4,0)</f>
        <v>Kg</v>
      </c>
      <c r="J459" s="7">
        <f>VLOOKUP(InputData[[#This Row],[PRODUCT ID]],MasterData[],5,0)</f>
        <v>90</v>
      </c>
      <c r="K459" s="8">
        <f>VLOOKUP(InputData[[#This Row],[PRODUCT ID]],MasterData[],6,0)</f>
        <v>115.2</v>
      </c>
      <c r="L459" s="8">
        <f>InputData[[#This Row],[BUYING PRIZE]]*InputData[[#This Row],[QUANTITY]]</f>
        <v>360</v>
      </c>
      <c r="M459" s="8">
        <f>InputData[[#This Row],[SELLING PRICE]]*InputData[[#This Row],[QUANTITY]]*(1-InputData[[#This Row],[DISCOUNT %]])</f>
        <v>460.8</v>
      </c>
      <c r="N459" s="7">
        <f>DAY(InputData[[#This Row],[DATE]])</f>
        <v>4</v>
      </c>
      <c r="O459" s="7" t="str">
        <f>TEXT(InputData[[#This Row],[DATE]],"MMM")</f>
        <v>Apr</v>
      </c>
      <c r="P459" s="7">
        <f>YEAR(InputData[[#This Row],[DATE]])</f>
        <v>2021</v>
      </c>
    </row>
    <row r="460" spans="1:16" x14ac:dyDescent="0.25">
      <c r="A460" s="3">
        <v>44339</v>
      </c>
      <c r="B460" s="4" t="s">
        <v>90</v>
      </c>
      <c r="C460" s="5">
        <v>11</v>
      </c>
      <c r="D460" s="5" t="s">
        <v>108</v>
      </c>
      <c r="E460" s="5" t="s">
        <v>106</v>
      </c>
      <c r="F460" s="6">
        <v>0</v>
      </c>
      <c r="G460" s="7" t="str">
        <f>VLOOKUP(InputData[[#This Row],[PRODUCT ID]],MasterData[],2,0)</f>
        <v>Apples</v>
      </c>
      <c r="H460" s="7" t="str">
        <f>VLOOKUP(InputData[[#This Row],[PRODUCT ID]],MasterData[],3,0)</f>
        <v>Category05</v>
      </c>
      <c r="I460" s="7" t="str">
        <f>VLOOKUP(InputData[[#This Row],[PRODUCT ID]],MasterData[],4,0)</f>
        <v>Kg</v>
      </c>
      <c r="J460" s="7">
        <f>VLOOKUP(InputData[[#This Row],[PRODUCT ID]],MasterData[],5,0)</f>
        <v>90</v>
      </c>
      <c r="K460" s="8">
        <f>VLOOKUP(InputData[[#This Row],[PRODUCT ID]],MasterData[],6,0)</f>
        <v>115.2</v>
      </c>
      <c r="L460" s="8">
        <f>InputData[[#This Row],[BUYING PRIZE]]*InputData[[#This Row],[QUANTITY]]</f>
        <v>990</v>
      </c>
      <c r="M460" s="8">
        <f>InputData[[#This Row],[SELLING PRICE]]*InputData[[#This Row],[QUANTITY]]*(1-InputData[[#This Row],[DISCOUNT %]])</f>
        <v>1267.2</v>
      </c>
      <c r="N460" s="7">
        <f>DAY(InputData[[#This Row],[DATE]])</f>
        <v>23</v>
      </c>
      <c r="O460" s="7" t="str">
        <f>TEXT(InputData[[#This Row],[DATE]],"MMM")</f>
        <v>May</v>
      </c>
      <c r="P460" s="7">
        <f>YEAR(InputData[[#This Row],[DATE]])</f>
        <v>2021</v>
      </c>
    </row>
    <row r="461" spans="1:16" x14ac:dyDescent="0.25">
      <c r="A461" s="3">
        <v>44461</v>
      </c>
      <c r="B461" s="4" t="s">
        <v>90</v>
      </c>
      <c r="C461" s="5">
        <v>2</v>
      </c>
      <c r="D461" s="5" t="s">
        <v>106</v>
      </c>
      <c r="E461" s="5" t="s">
        <v>107</v>
      </c>
      <c r="F461" s="6">
        <v>0</v>
      </c>
      <c r="G461" s="7" t="str">
        <f>VLOOKUP(InputData[[#This Row],[PRODUCT ID]],MasterData[],2,0)</f>
        <v>Apples</v>
      </c>
      <c r="H461" s="7" t="str">
        <f>VLOOKUP(InputData[[#This Row],[PRODUCT ID]],MasterData[],3,0)</f>
        <v>Category05</v>
      </c>
      <c r="I461" s="7" t="str">
        <f>VLOOKUP(InputData[[#This Row],[PRODUCT ID]],MasterData[],4,0)</f>
        <v>Kg</v>
      </c>
      <c r="J461" s="7">
        <f>VLOOKUP(InputData[[#This Row],[PRODUCT ID]],MasterData[],5,0)</f>
        <v>90</v>
      </c>
      <c r="K461" s="8">
        <f>VLOOKUP(InputData[[#This Row],[PRODUCT ID]],MasterData[],6,0)</f>
        <v>115.2</v>
      </c>
      <c r="L461" s="8">
        <f>InputData[[#This Row],[BUYING PRIZE]]*InputData[[#This Row],[QUANTITY]]</f>
        <v>180</v>
      </c>
      <c r="M461" s="8">
        <f>InputData[[#This Row],[SELLING PRICE]]*InputData[[#This Row],[QUANTITY]]*(1-InputData[[#This Row],[DISCOUNT %]])</f>
        <v>230.4</v>
      </c>
      <c r="N461" s="7">
        <f>DAY(InputData[[#This Row],[DATE]])</f>
        <v>22</v>
      </c>
      <c r="O461" s="7" t="str">
        <f>TEXT(InputData[[#This Row],[DATE]],"MMM")</f>
        <v>Sep</v>
      </c>
      <c r="P461" s="7">
        <f>YEAR(InputData[[#This Row],[DATE]])</f>
        <v>2021</v>
      </c>
    </row>
    <row r="462" spans="1:16" x14ac:dyDescent="0.25">
      <c r="A462" s="3">
        <v>44511</v>
      </c>
      <c r="B462" s="4" t="s">
        <v>90</v>
      </c>
      <c r="C462" s="5">
        <v>12</v>
      </c>
      <c r="D462" s="5" t="s">
        <v>105</v>
      </c>
      <c r="E462" s="5" t="s">
        <v>106</v>
      </c>
      <c r="F462" s="6">
        <v>0</v>
      </c>
      <c r="G462" s="7" t="str">
        <f>VLOOKUP(InputData[[#This Row],[PRODUCT ID]],MasterData[],2,0)</f>
        <v>Apples</v>
      </c>
      <c r="H462" s="7" t="str">
        <f>VLOOKUP(InputData[[#This Row],[PRODUCT ID]],MasterData[],3,0)</f>
        <v>Category05</v>
      </c>
      <c r="I462" s="7" t="str">
        <f>VLOOKUP(InputData[[#This Row],[PRODUCT ID]],MasterData[],4,0)</f>
        <v>Kg</v>
      </c>
      <c r="J462" s="7">
        <f>VLOOKUP(InputData[[#This Row],[PRODUCT ID]],MasterData[],5,0)</f>
        <v>90</v>
      </c>
      <c r="K462" s="8">
        <f>VLOOKUP(InputData[[#This Row],[PRODUCT ID]],MasterData[],6,0)</f>
        <v>115.2</v>
      </c>
      <c r="L462" s="8">
        <f>InputData[[#This Row],[BUYING PRIZE]]*InputData[[#This Row],[QUANTITY]]</f>
        <v>1080</v>
      </c>
      <c r="M462" s="8">
        <f>InputData[[#This Row],[SELLING PRICE]]*InputData[[#This Row],[QUANTITY]]*(1-InputData[[#This Row],[DISCOUNT %]])</f>
        <v>1382.4</v>
      </c>
      <c r="N462" s="7">
        <f>DAY(InputData[[#This Row],[DATE]])</f>
        <v>11</v>
      </c>
      <c r="O462" s="7" t="str">
        <f>TEXT(InputData[[#This Row],[DATE]],"MMM")</f>
        <v>Nov</v>
      </c>
      <c r="P462" s="7">
        <f>YEAR(InputData[[#This Row],[DATE]])</f>
        <v>2021</v>
      </c>
    </row>
    <row r="463" spans="1:16" x14ac:dyDescent="0.25">
      <c r="A463" s="3">
        <v>44528</v>
      </c>
      <c r="B463" s="4" t="s">
        <v>90</v>
      </c>
      <c r="C463" s="5">
        <v>2</v>
      </c>
      <c r="D463" s="5" t="s">
        <v>108</v>
      </c>
      <c r="E463" s="5" t="s">
        <v>107</v>
      </c>
      <c r="F463" s="6">
        <v>0</v>
      </c>
      <c r="G463" s="7" t="str">
        <f>VLOOKUP(InputData[[#This Row],[PRODUCT ID]],MasterData[],2,0)</f>
        <v>Apples</v>
      </c>
      <c r="H463" s="7" t="str">
        <f>VLOOKUP(InputData[[#This Row],[PRODUCT ID]],MasterData[],3,0)</f>
        <v>Category05</v>
      </c>
      <c r="I463" s="7" t="str">
        <f>VLOOKUP(InputData[[#This Row],[PRODUCT ID]],MasterData[],4,0)</f>
        <v>Kg</v>
      </c>
      <c r="J463" s="7">
        <f>VLOOKUP(InputData[[#This Row],[PRODUCT ID]],MasterData[],5,0)</f>
        <v>90</v>
      </c>
      <c r="K463" s="8">
        <f>VLOOKUP(InputData[[#This Row],[PRODUCT ID]],MasterData[],6,0)</f>
        <v>115.2</v>
      </c>
      <c r="L463" s="8">
        <f>InputData[[#This Row],[BUYING PRIZE]]*InputData[[#This Row],[QUANTITY]]</f>
        <v>180</v>
      </c>
      <c r="M463" s="8">
        <f>InputData[[#This Row],[SELLING PRICE]]*InputData[[#This Row],[QUANTITY]]*(1-InputData[[#This Row],[DISCOUNT %]])</f>
        <v>230.4</v>
      </c>
      <c r="N463" s="7">
        <f>DAY(InputData[[#This Row],[DATE]])</f>
        <v>28</v>
      </c>
      <c r="O463" s="7" t="str">
        <f>TEXT(InputData[[#This Row],[DATE]],"MMM")</f>
        <v>Nov</v>
      </c>
      <c r="P463" s="7">
        <f>YEAR(InputData[[#This Row],[DATE]])</f>
        <v>2021</v>
      </c>
    </row>
    <row r="464" spans="1:16" x14ac:dyDescent="0.25">
      <c r="A464" s="3">
        <v>44578</v>
      </c>
      <c r="B464" s="4" t="s">
        <v>90</v>
      </c>
      <c r="C464" s="5">
        <v>4</v>
      </c>
      <c r="D464" s="5" t="s">
        <v>106</v>
      </c>
      <c r="E464" s="5" t="s">
        <v>106</v>
      </c>
      <c r="F464" s="6">
        <v>0</v>
      </c>
      <c r="G464" s="7" t="str">
        <f>VLOOKUP(InputData[[#This Row],[PRODUCT ID]],MasterData[],2,0)</f>
        <v>Apples</v>
      </c>
      <c r="H464" s="7" t="str">
        <f>VLOOKUP(InputData[[#This Row],[PRODUCT ID]],MasterData[],3,0)</f>
        <v>Category05</v>
      </c>
      <c r="I464" s="7" t="str">
        <f>VLOOKUP(InputData[[#This Row],[PRODUCT ID]],MasterData[],4,0)</f>
        <v>Kg</v>
      </c>
      <c r="J464" s="7">
        <f>VLOOKUP(InputData[[#This Row],[PRODUCT ID]],MasterData[],5,0)</f>
        <v>90</v>
      </c>
      <c r="K464" s="8">
        <f>VLOOKUP(InputData[[#This Row],[PRODUCT ID]],MasterData[],6,0)</f>
        <v>115.2</v>
      </c>
      <c r="L464" s="8">
        <f>InputData[[#This Row],[BUYING PRIZE]]*InputData[[#This Row],[QUANTITY]]</f>
        <v>360</v>
      </c>
      <c r="M464" s="8">
        <f>InputData[[#This Row],[SELLING PRICE]]*InputData[[#This Row],[QUANTITY]]*(1-InputData[[#This Row],[DISCOUNT %]])</f>
        <v>460.8</v>
      </c>
      <c r="N464" s="7">
        <f>DAY(InputData[[#This Row],[DATE]])</f>
        <v>17</v>
      </c>
      <c r="O464" s="7" t="str">
        <f>TEXT(InputData[[#This Row],[DATE]],"MMM")</f>
        <v>Jan</v>
      </c>
      <c r="P464" s="7">
        <f>YEAR(InputData[[#This Row],[DATE]])</f>
        <v>2022</v>
      </c>
    </row>
    <row r="465" spans="1:16" x14ac:dyDescent="0.25">
      <c r="A465" s="3">
        <v>44657</v>
      </c>
      <c r="B465" s="4" t="s">
        <v>90</v>
      </c>
      <c r="C465" s="5">
        <v>2</v>
      </c>
      <c r="D465" s="5" t="s">
        <v>105</v>
      </c>
      <c r="E465" s="5" t="s">
        <v>107</v>
      </c>
      <c r="F465" s="6">
        <v>0</v>
      </c>
      <c r="G465" s="7" t="str">
        <f>VLOOKUP(InputData[[#This Row],[PRODUCT ID]],MasterData[],2,0)</f>
        <v>Apples</v>
      </c>
      <c r="H465" s="7" t="str">
        <f>VLOOKUP(InputData[[#This Row],[PRODUCT ID]],MasterData[],3,0)</f>
        <v>Category05</v>
      </c>
      <c r="I465" s="7" t="str">
        <f>VLOOKUP(InputData[[#This Row],[PRODUCT ID]],MasterData[],4,0)</f>
        <v>Kg</v>
      </c>
      <c r="J465" s="7">
        <f>VLOOKUP(InputData[[#This Row],[PRODUCT ID]],MasterData[],5,0)</f>
        <v>90</v>
      </c>
      <c r="K465" s="8">
        <f>VLOOKUP(InputData[[#This Row],[PRODUCT ID]],MasterData[],6,0)</f>
        <v>115.2</v>
      </c>
      <c r="L465" s="8">
        <f>InputData[[#This Row],[BUYING PRIZE]]*InputData[[#This Row],[QUANTITY]]</f>
        <v>180</v>
      </c>
      <c r="M465" s="8">
        <f>InputData[[#This Row],[SELLING PRICE]]*InputData[[#This Row],[QUANTITY]]*(1-InputData[[#This Row],[DISCOUNT %]])</f>
        <v>230.4</v>
      </c>
      <c r="N465" s="7">
        <f>DAY(InputData[[#This Row],[DATE]])</f>
        <v>6</v>
      </c>
      <c r="O465" s="7" t="str">
        <f>TEXT(InputData[[#This Row],[DATE]],"MMM")</f>
        <v>Apr</v>
      </c>
      <c r="P465" s="7">
        <f>YEAR(InputData[[#This Row],[DATE]])</f>
        <v>2022</v>
      </c>
    </row>
    <row r="466" spans="1:16" x14ac:dyDescent="0.25">
      <c r="A466" s="3">
        <v>44734</v>
      </c>
      <c r="B466" s="4" t="s">
        <v>90</v>
      </c>
      <c r="C466" s="5">
        <v>10</v>
      </c>
      <c r="D466" s="5" t="s">
        <v>106</v>
      </c>
      <c r="E466" s="5" t="s">
        <v>107</v>
      </c>
      <c r="F466" s="6">
        <v>0</v>
      </c>
      <c r="G466" s="7" t="str">
        <f>VLOOKUP(InputData[[#This Row],[PRODUCT ID]],MasterData[],2,0)</f>
        <v>Apples</v>
      </c>
      <c r="H466" s="7" t="str">
        <f>VLOOKUP(InputData[[#This Row],[PRODUCT ID]],MasterData[],3,0)</f>
        <v>Category05</v>
      </c>
      <c r="I466" s="7" t="str">
        <f>VLOOKUP(InputData[[#This Row],[PRODUCT ID]],MasterData[],4,0)</f>
        <v>Kg</v>
      </c>
      <c r="J466" s="7">
        <f>VLOOKUP(InputData[[#This Row],[PRODUCT ID]],MasterData[],5,0)</f>
        <v>90</v>
      </c>
      <c r="K466" s="8">
        <f>VLOOKUP(InputData[[#This Row],[PRODUCT ID]],MasterData[],6,0)</f>
        <v>115.2</v>
      </c>
      <c r="L466" s="8">
        <f>InputData[[#This Row],[BUYING PRIZE]]*InputData[[#This Row],[QUANTITY]]</f>
        <v>900</v>
      </c>
      <c r="M466" s="8">
        <f>InputData[[#This Row],[SELLING PRICE]]*InputData[[#This Row],[QUANTITY]]*(1-InputData[[#This Row],[DISCOUNT %]])</f>
        <v>1152</v>
      </c>
      <c r="N466" s="7">
        <f>DAY(InputData[[#This Row],[DATE]])</f>
        <v>22</v>
      </c>
      <c r="O466" s="7" t="str">
        <f>TEXT(InputData[[#This Row],[DATE]],"MMM")</f>
        <v>Jun</v>
      </c>
      <c r="P466" s="7">
        <f>YEAR(InputData[[#This Row],[DATE]])</f>
        <v>2022</v>
      </c>
    </row>
    <row r="467" spans="1:16" x14ac:dyDescent="0.25">
      <c r="A467" s="3">
        <v>44872</v>
      </c>
      <c r="B467" s="4" t="s">
        <v>90</v>
      </c>
      <c r="C467" s="5">
        <v>13</v>
      </c>
      <c r="D467" s="5" t="s">
        <v>106</v>
      </c>
      <c r="E467" s="5" t="s">
        <v>107</v>
      </c>
      <c r="F467" s="6">
        <v>0</v>
      </c>
      <c r="G467" s="7" t="str">
        <f>VLOOKUP(InputData[[#This Row],[PRODUCT ID]],MasterData[],2,0)</f>
        <v>Apples</v>
      </c>
      <c r="H467" s="7" t="str">
        <f>VLOOKUP(InputData[[#This Row],[PRODUCT ID]],MasterData[],3,0)</f>
        <v>Category05</v>
      </c>
      <c r="I467" s="7" t="str">
        <f>VLOOKUP(InputData[[#This Row],[PRODUCT ID]],MasterData[],4,0)</f>
        <v>Kg</v>
      </c>
      <c r="J467" s="7">
        <f>VLOOKUP(InputData[[#This Row],[PRODUCT ID]],MasterData[],5,0)</f>
        <v>90</v>
      </c>
      <c r="K467" s="8">
        <f>VLOOKUP(InputData[[#This Row],[PRODUCT ID]],MasterData[],6,0)</f>
        <v>115.2</v>
      </c>
      <c r="L467" s="8">
        <f>InputData[[#This Row],[BUYING PRIZE]]*InputData[[#This Row],[QUANTITY]]</f>
        <v>1170</v>
      </c>
      <c r="M467" s="8">
        <f>InputData[[#This Row],[SELLING PRICE]]*InputData[[#This Row],[QUANTITY]]*(1-InputData[[#This Row],[DISCOUNT %]])</f>
        <v>1497.6000000000001</v>
      </c>
      <c r="N467" s="7">
        <f>DAY(InputData[[#This Row],[DATE]])</f>
        <v>7</v>
      </c>
      <c r="O467" s="7" t="str">
        <f>TEXT(InputData[[#This Row],[DATE]],"MMM")</f>
        <v>Nov</v>
      </c>
      <c r="P467" s="7">
        <f>YEAR(InputData[[#This Row],[DATE]])</f>
        <v>2022</v>
      </c>
    </row>
    <row r="468" spans="1:16" x14ac:dyDescent="0.25">
      <c r="A468" s="3">
        <v>44359</v>
      </c>
      <c r="B468" s="4" t="s">
        <v>92</v>
      </c>
      <c r="C468" s="5">
        <v>6</v>
      </c>
      <c r="D468" s="5" t="s">
        <v>108</v>
      </c>
      <c r="E468" s="5" t="s">
        <v>106</v>
      </c>
      <c r="F468" s="6">
        <v>0</v>
      </c>
      <c r="G468" s="7" t="str">
        <f>VLOOKUP(InputData[[#This Row],[PRODUCT ID]],MasterData[],2,0)</f>
        <v>Meat</v>
      </c>
      <c r="H468" s="7" t="str">
        <f>VLOOKUP(InputData[[#This Row],[PRODUCT ID]],MasterData[],3,0)</f>
        <v>Category05</v>
      </c>
      <c r="I468" s="7" t="str">
        <f>VLOOKUP(InputData[[#This Row],[PRODUCT ID]],MasterData[],4,0)</f>
        <v>Ft</v>
      </c>
      <c r="J468" s="7">
        <f>VLOOKUP(InputData[[#This Row],[PRODUCT ID]],MasterData[],5,0)</f>
        <v>138</v>
      </c>
      <c r="K468" s="8">
        <f>VLOOKUP(InputData[[#This Row],[PRODUCT ID]],MasterData[],6,0)</f>
        <v>173.88</v>
      </c>
      <c r="L468" s="8">
        <f>InputData[[#This Row],[BUYING PRIZE]]*InputData[[#This Row],[QUANTITY]]</f>
        <v>828</v>
      </c>
      <c r="M468" s="8">
        <f>InputData[[#This Row],[SELLING PRICE]]*InputData[[#This Row],[QUANTITY]]*(1-InputData[[#This Row],[DISCOUNT %]])</f>
        <v>1043.28</v>
      </c>
      <c r="N468" s="7">
        <f>DAY(InputData[[#This Row],[DATE]])</f>
        <v>12</v>
      </c>
      <c r="O468" s="7" t="str">
        <f>TEXT(InputData[[#This Row],[DATE]],"MMM")</f>
        <v>Jun</v>
      </c>
      <c r="P468" s="7">
        <f>YEAR(InputData[[#This Row],[DATE]])</f>
        <v>2021</v>
      </c>
    </row>
    <row r="469" spans="1:16" x14ac:dyDescent="0.25">
      <c r="A469" s="3">
        <v>44366</v>
      </c>
      <c r="B469" s="4" t="s">
        <v>92</v>
      </c>
      <c r="C469" s="5">
        <v>5</v>
      </c>
      <c r="D469" s="5" t="s">
        <v>108</v>
      </c>
      <c r="E469" s="5" t="s">
        <v>106</v>
      </c>
      <c r="F469" s="6">
        <v>0</v>
      </c>
      <c r="G469" s="7" t="str">
        <f>VLOOKUP(InputData[[#This Row],[PRODUCT ID]],MasterData[],2,0)</f>
        <v>Meat</v>
      </c>
      <c r="H469" s="7" t="str">
        <f>VLOOKUP(InputData[[#This Row],[PRODUCT ID]],MasterData[],3,0)</f>
        <v>Category05</v>
      </c>
      <c r="I469" s="7" t="str">
        <f>VLOOKUP(InputData[[#This Row],[PRODUCT ID]],MasterData[],4,0)</f>
        <v>Ft</v>
      </c>
      <c r="J469" s="7">
        <f>VLOOKUP(InputData[[#This Row],[PRODUCT ID]],MasterData[],5,0)</f>
        <v>138</v>
      </c>
      <c r="K469" s="8">
        <f>VLOOKUP(InputData[[#This Row],[PRODUCT ID]],MasterData[],6,0)</f>
        <v>173.88</v>
      </c>
      <c r="L469" s="8">
        <f>InputData[[#This Row],[BUYING PRIZE]]*InputData[[#This Row],[QUANTITY]]</f>
        <v>690</v>
      </c>
      <c r="M469" s="8">
        <f>InputData[[#This Row],[SELLING PRICE]]*InputData[[#This Row],[QUANTITY]]*(1-InputData[[#This Row],[DISCOUNT %]])</f>
        <v>869.4</v>
      </c>
      <c r="N469" s="7">
        <f>DAY(InputData[[#This Row],[DATE]])</f>
        <v>19</v>
      </c>
      <c r="O469" s="7" t="str">
        <f>TEXT(InputData[[#This Row],[DATE]],"MMM")</f>
        <v>Jun</v>
      </c>
      <c r="P469" s="7">
        <f>YEAR(InputData[[#This Row],[DATE]])</f>
        <v>2021</v>
      </c>
    </row>
    <row r="470" spans="1:16" x14ac:dyDescent="0.25">
      <c r="A470" s="3">
        <v>44383</v>
      </c>
      <c r="B470" s="4" t="s">
        <v>92</v>
      </c>
      <c r="C470" s="5">
        <v>15</v>
      </c>
      <c r="D470" s="5" t="s">
        <v>108</v>
      </c>
      <c r="E470" s="5" t="s">
        <v>107</v>
      </c>
      <c r="F470" s="6">
        <v>0</v>
      </c>
      <c r="G470" s="7" t="str">
        <f>VLOOKUP(InputData[[#This Row],[PRODUCT ID]],MasterData[],2,0)</f>
        <v>Meat</v>
      </c>
      <c r="H470" s="7" t="str">
        <f>VLOOKUP(InputData[[#This Row],[PRODUCT ID]],MasterData[],3,0)</f>
        <v>Category05</v>
      </c>
      <c r="I470" s="7" t="str">
        <f>VLOOKUP(InputData[[#This Row],[PRODUCT ID]],MasterData[],4,0)</f>
        <v>Ft</v>
      </c>
      <c r="J470" s="7">
        <f>VLOOKUP(InputData[[#This Row],[PRODUCT ID]],MasterData[],5,0)</f>
        <v>138</v>
      </c>
      <c r="K470" s="8">
        <f>VLOOKUP(InputData[[#This Row],[PRODUCT ID]],MasterData[],6,0)</f>
        <v>173.88</v>
      </c>
      <c r="L470" s="8">
        <f>InputData[[#This Row],[BUYING PRIZE]]*InputData[[#This Row],[QUANTITY]]</f>
        <v>2070</v>
      </c>
      <c r="M470" s="8">
        <f>InputData[[#This Row],[SELLING PRICE]]*InputData[[#This Row],[QUANTITY]]*(1-InputData[[#This Row],[DISCOUNT %]])</f>
        <v>2608.1999999999998</v>
      </c>
      <c r="N470" s="7">
        <f>DAY(InputData[[#This Row],[DATE]])</f>
        <v>6</v>
      </c>
      <c r="O470" s="7" t="str">
        <f>TEXT(InputData[[#This Row],[DATE]],"MMM")</f>
        <v>Jul</v>
      </c>
      <c r="P470" s="7">
        <f>YEAR(InputData[[#This Row],[DATE]])</f>
        <v>2021</v>
      </c>
    </row>
    <row r="471" spans="1:16" x14ac:dyDescent="0.25">
      <c r="A471" s="3">
        <v>44442</v>
      </c>
      <c r="B471" s="4" t="s">
        <v>92</v>
      </c>
      <c r="C471" s="5">
        <v>8</v>
      </c>
      <c r="D471" s="5" t="s">
        <v>108</v>
      </c>
      <c r="E471" s="5" t="s">
        <v>106</v>
      </c>
      <c r="F471" s="6">
        <v>0</v>
      </c>
      <c r="G471" s="7" t="str">
        <f>VLOOKUP(InputData[[#This Row],[PRODUCT ID]],MasterData[],2,0)</f>
        <v>Meat</v>
      </c>
      <c r="H471" s="7" t="str">
        <f>VLOOKUP(InputData[[#This Row],[PRODUCT ID]],MasterData[],3,0)</f>
        <v>Category05</v>
      </c>
      <c r="I471" s="7" t="str">
        <f>VLOOKUP(InputData[[#This Row],[PRODUCT ID]],MasterData[],4,0)</f>
        <v>Ft</v>
      </c>
      <c r="J471" s="7">
        <f>VLOOKUP(InputData[[#This Row],[PRODUCT ID]],MasterData[],5,0)</f>
        <v>138</v>
      </c>
      <c r="K471" s="8">
        <f>VLOOKUP(InputData[[#This Row],[PRODUCT ID]],MasterData[],6,0)</f>
        <v>173.88</v>
      </c>
      <c r="L471" s="8">
        <f>InputData[[#This Row],[BUYING PRIZE]]*InputData[[#This Row],[QUANTITY]]</f>
        <v>1104</v>
      </c>
      <c r="M471" s="8">
        <f>InputData[[#This Row],[SELLING PRICE]]*InputData[[#This Row],[QUANTITY]]*(1-InputData[[#This Row],[DISCOUNT %]])</f>
        <v>1391.04</v>
      </c>
      <c r="N471" s="7">
        <f>DAY(InputData[[#This Row],[DATE]])</f>
        <v>3</v>
      </c>
      <c r="O471" s="7" t="str">
        <f>TEXT(InputData[[#This Row],[DATE]],"MMM")</f>
        <v>Sep</v>
      </c>
      <c r="P471" s="7">
        <f>YEAR(InputData[[#This Row],[DATE]])</f>
        <v>2021</v>
      </c>
    </row>
    <row r="472" spans="1:16" x14ac:dyDescent="0.25">
      <c r="A472" s="3">
        <v>44452</v>
      </c>
      <c r="B472" s="4" t="s">
        <v>92</v>
      </c>
      <c r="C472" s="5">
        <v>7</v>
      </c>
      <c r="D472" s="5" t="s">
        <v>108</v>
      </c>
      <c r="E472" s="5" t="s">
        <v>107</v>
      </c>
      <c r="F472" s="6">
        <v>0</v>
      </c>
      <c r="G472" s="7" t="str">
        <f>VLOOKUP(InputData[[#This Row],[PRODUCT ID]],MasterData[],2,0)</f>
        <v>Meat</v>
      </c>
      <c r="H472" s="7" t="str">
        <f>VLOOKUP(InputData[[#This Row],[PRODUCT ID]],MasterData[],3,0)</f>
        <v>Category05</v>
      </c>
      <c r="I472" s="7" t="str">
        <f>VLOOKUP(InputData[[#This Row],[PRODUCT ID]],MasterData[],4,0)</f>
        <v>Ft</v>
      </c>
      <c r="J472" s="7">
        <f>VLOOKUP(InputData[[#This Row],[PRODUCT ID]],MasterData[],5,0)</f>
        <v>138</v>
      </c>
      <c r="K472" s="8">
        <f>VLOOKUP(InputData[[#This Row],[PRODUCT ID]],MasterData[],6,0)</f>
        <v>173.88</v>
      </c>
      <c r="L472" s="8">
        <f>InputData[[#This Row],[BUYING PRIZE]]*InputData[[#This Row],[QUANTITY]]</f>
        <v>966</v>
      </c>
      <c r="M472" s="8">
        <f>InputData[[#This Row],[SELLING PRICE]]*InputData[[#This Row],[QUANTITY]]*(1-InputData[[#This Row],[DISCOUNT %]])</f>
        <v>1217.1599999999999</v>
      </c>
      <c r="N472" s="7">
        <f>DAY(InputData[[#This Row],[DATE]])</f>
        <v>13</v>
      </c>
      <c r="O472" s="7" t="str">
        <f>TEXT(InputData[[#This Row],[DATE]],"MMM")</f>
        <v>Sep</v>
      </c>
      <c r="P472" s="7">
        <f>YEAR(InputData[[#This Row],[DATE]])</f>
        <v>2021</v>
      </c>
    </row>
    <row r="473" spans="1:16" x14ac:dyDescent="0.25">
      <c r="A473" s="3">
        <v>44556</v>
      </c>
      <c r="B473" s="4" t="s">
        <v>92</v>
      </c>
      <c r="C473" s="5">
        <v>14</v>
      </c>
      <c r="D473" s="5" t="s">
        <v>106</v>
      </c>
      <c r="E473" s="5" t="s">
        <v>107</v>
      </c>
      <c r="F473" s="6">
        <v>0</v>
      </c>
      <c r="G473" s="7" t="str">
        <f>VLOOKUP(InputData[[#This Row],[PRODUCT ID]],MasterData[],2,0)</f>
        <v>Meat</v>
      </c>
      <c r="H473" s="7" t="str">
        <f>VLOOKUP(InputData[[#This Row],[PRODUCT ID]],MasterData[],3,0)</f>
        <v>Category05</v>
      </c>
      <c r="I473" s="7" t="str">
        <f>VLOOKUP(InputData[[#This Row],[PRODUCT ID]],MasterData[],4,0)</f>
        <v>Ft</v>
      </c>
      <c r="J473" s="7">
        <f>VLOOKUP(InputData[[#This Row],[PRODUCT ID]],MasterData[],5,0)</f>
        <v>138</v>
      </c>
      <c r="K473" s="8">
        <f>VLOOKUP(InputData[[#This Row],[PRODUCT ID]],MasterData[],6,0)</f>
        <v>173.88</v>
      </c>
      <c r="L473" s="8">
        <f>InputData[[#This Row],[BUYING PRIZE]]*InputData[[#This Row],[QUANTITY]]</f>
        <v>1932</v>
      </c>
      <c r="M473" s="8">
        <f>InputData[[#This Row],[SELLING PRICE]]*InputData[[#This Row],[QUANTITY]]*(1-InputData[[#This Row],[DISCOUNT %]])</f>
        <v>2434.3199999999997</v>
      </c>
      <c r="N473" s="7">
        <f>DAY(InputData[[#This Row],[DATE]])</f>
        <v>26</v>
      </c>
      <c r="O473" s="7" t="str">
        <f>TEXT(InputData[[#This Row],[DATE]],"MMM")</f>
        <v>Dec</v>
      </c>
      <c r="P473" s="7">
        <f>YEAR(InputData[[#This Row],[DATE]])</f>
        <v>2021</v>
      </c>
    </row>
    <row r="474" spans="1:16" x14ac:dyDescent="0.25">
      <c r="A474" s="3">
        <v>44592</v>
      </c>
      <c r="B474" s="4" t="s">
        <v>92</v>
      </c>
      <c r="C474" s="5">
        <v>9</v>
      </c>
      <c r="D474" s="5" t="s">
        <v>108</v>
      </c>
      <c r="E474" s="5" t="s">
        <v>107</v>
      </c>
      <c r="F474" s="6">
        <v>0</v>
      </c>
      <c r="G474" s="7" t="str">
        <f>VLOOKUP(InputData[[#This Row],[PRODUCT ID]],MasterData[],2,0)</f>
        <v>Meat</v>
      </c>
      <c r="H474" s="7" t="str">
        <f>VLOOKUP(InputData[[#This Row],[PRODUCT ID]],MasterData[],3,0)</f>
        <v>Category05</v>
      </c>
      <c r="I474" s="7" t="str">
        <f>VLOOKUP(InputData[[#This Row],[PRODUCT ID]],MasterData[],4,0)</f>
        <v>Ft</v>
      </c>
      <c r="J474" s="7">
        <f>VLOOKUP(InputData[[#This Row],[PRODUCT ID]],MasterData[],5,0)</f>
        <v>138</v>
      </c>
      <c r="K474" s="8">
        <f>VLOOKUP(InputData[[#This Row],[PRODUCT ID]],MasterData[],6,0)</f>
        <v>173.88</v>
      </c>
      <c r="L474" s="8">
        <f>InputData[[#This Row],[BUYING PRIZE]]*InputData[[#This Row],[QUANTITY]]</f>
        <v>1242</v>
      </c>
      <c r="M474" s="8">
        <f>InputData[[#This Row],[SELLING PRICE]]*InputData[[#This Row],[QUANTITY]]*(1-InputData[[#This Row],[DISCOUNT %]])</f>
        <v>1564.92</v>
      </c>
      <c r="N474" s="7">
        <f>DAY(InputData[[#This Row],[DATE]])</f>
        <v>31</v>
      </c>
      <c r="O474" s="7" t="str">
        <f>TEXT(InputData[[#This Row],[DATE]],"MMM")</f>
        <v>Jan</v>
      </c>
      <c r="P474" s="7">
        <f>YEAR(InputData[[#This Row],[DATE]])</f>
        <v>2022</v>
      </c>
    </row>
    <row r="475" spans="1:16" x14ac:dyDescent="0.25">
      <c r="A475" s="3">
        <v>44639</v>
      </c>
      <c r="B475" s="4" t="s">
        <v>92</v>
      </c>
      <c r="C475" s="5">
        <v>6</v>
      </c>
      <c r="D475" s="5" t="s">
        <v>105</v>
      </c>
      <c r="E475" s="5" t="s">
        <v>107</v>
      </c>
      <c r="F475" s="6">
        <v>0</v>
      </c>
      <c r="G475" s="7" t="str">
        <f>VLOOKUP(InputData[[#This Row],[PRODUCT ID]],MasterData[],2,0)</f>
        <v>Meat</v>
      </c>
      <c r="H475" s="7" t="str">
        <f>VLOOKUP(InputData[[#This Row],[PRODUCT ID]],MasterData[],3,0)</f>
        <v>Category05</v>
      </c>
      <c r="I475" s="7" t="str">
        <f>VLOOKUP(InputData[[#This Row],[PRODUCT ID]],MasterData[],4,0)</f>
        <v>Ft</v>
      </c>
      <c r="J475" s="7">
        <f>VLOOKUP(InputData[[#This Row],[PRODUCT ID]],MasterData[],5,0)</f>
        <v>138</v>
      </c>
      <c r="K475" s="8">
        <f>VLOOKUP(InputData[[#This Row],[PRODUCT ID]],MasterData[],6,0)</f>
        <v>173.88</v>
      </c>
      <c r="L475" s="8">
        <f>InputData[[#This Row],[BUYING PRIZE]]*InputData[[#This Row],[QUANTITY]]</f>
        <v>828</v>
      </c>
      <c r="M475" s="8">
        <f>InputData[[#This Row],[SELLING PRICE]]*InputData[[#This Row],[QUANTITY]]*(1-InputData[[#This Row],[DISCOUNT %]])</f>
        <v>1043.28</v>
      </c>
      <c r="N475" s="7">
        <f>DAY(InputData[[#This Row],[DATE]])</f>
        <v>19</v>
      </c>
      <c r="O475" s="7" t="str">
        <f>TEXT(InputData[[#This Row],[DATE]],"MMM")</f>
        <v>Mar</v>
      </c>
      <c r="P475" s="7">
        <f>YEAR(InputData[[#This Row],[DATE]])</f>
        <v>2022</v>
      </c>
    </row>
    <row r="476" spans="1:16" x14ac:dyDescent="0.25">
      <c r="A476" s="3">
        <v>44669</v>
      </c>
      <c r="B476" s="4" t="s">
        <v>92</v>
      </c>
      <c r="C476" s="5">
        <v>9</v>
      </c>
      <c r="D476" s="5" t="s">
        <v>108</v>
      </c>
      <c r="E476" s="5" t="s">
        <v>107</v>
      </c>
      <c r="F476" s="6">
        <v>0</v>
      </c>
      <c r="G476" s="7" t="str">
        <f>VLOOKUP(InputData[[#This Row],[PRODUCT ID]],MasterData[],2,0)</f>
        <v>Meat</v>
      </c>
      <c r="H476" s="7" t="str">
        <f>VLOOKUP(InputData[[#This Row],[PRODUCT ID]],MasterData[],3,0)</f>
        <v>Category05</v>
      </c>
      <c r="I476" s="7" t="str">
        <f>VLOOKUP(InputData[[#This Row],[PRODUCT ID]],MasterData[],4,0)</f>
        <v>Ft</v>
      </c>
      <c r="J476" s="7">
        <f>VLOOKUP(InputData[[#This Row],[PRODUCT ID]],MasterData[],5,0)</f>
        <v>138</v>
      </c>
      <c r="K476" s="8">
        <f>VLOOKUP(InputData[[#This Row],[PRODUCT ID]],MasterData[],6,0)</f>
        <v>173.88</v>
      </c>
      <c r="L476" s="8">
        <f>InputData[[#This Row],[BUYING PRIZE]]*InputData[[#This Row],[QUANTITY]]</f>
        <v>1242</v>
      </c>
      <c r="M476" s="8">
        <f>InputData[[#This Row],[SELLING PRICE]]*InputData[[#This Row],[QUANTITY]]*(1-InputData[[#This Row],[DISCOUNT %]])</f>
        <v>1564.92</v>
      </c>
      <c r="N476" s="7">
        <f>DAY(InputData[[#This Row],[DATE]])</f>
        <v>18</v>
      </c>
      <c r="O476" s="7" t="str">
        <f>TEXT(InputData[[#This Row],[DATE]],"MMM")</f>
        <v>Apr</v>
      </c>
      <c r="P476" s="7">
        <f>YEAR(InputData[[#This Row],[DATE]])</f>
        <v>2022</v>
      </c>
    </row>
    <row r="477" spans="1:16" x14ac:dyDescent="0.25">
      <c r="A477" s="3">
        <v>44709</v>
      </c>
      <c r="B477" s="4" t="s">
        <v>92</v>
      </c>
      <c r="C477" s="5">
        <v>10</v>
      </c>
      <c r="D477" s="5" t="s">
        <v>105</v>
      </c>
      <c r="E477" s="5" t="s">
        <v>107</v>
      </c>
      <c r="F477" s="6">
        <v>0</v>
      </c>
      <c r="G477" s="7" t="str">
        <f>VLOOKUP(InputData[[#This Row],[PRODUCT ID]],MasterData[],2,0)</f>
        <v>Meat</v>
      </c>
      <c r="H477" s="7" t="str">
        <f>VLOOKUP(InputData[[#This Row],[PRODUCT ID]],MasterData[],3,0)</f>
        <v>Category05</v>
      </c>
      <c r="I477" s="7" t="str">
        <f>VLOOKUP(InputData[[#This Row],[PRODUCT ID]],MasterData[],4,0)</f>
        <v>Ft</v>
      </c>
      <c r="J477" s="7">
        <f>VLOOKUP(InputData[[#This Row],[PRODUCT ID]],MasterData[],5,0)</f>
        <v>138</v>
      </c>
      <c r="K477" s="8">
        <f>VLOOKUP(InputData[[#This Row],[PRODUCT ID]],MasterData[],6,0)</f>
        <v>173.88</v>
      </c>
      <c r="L477" s="8">
        <f>InputData[[#This Row],[BUYING PRIZE]]*InputData[[#This Row],[QUANTITY]]</f>
        <v>1380</v>
      </c>
      <c r="M477" s="8">
        <f>InputData[[#This Row],[SELLING PRICE]]*InputData[[#This Row],[QUANTITY]]*(1-InputData[[#This Row],[DISCOUNT %]])</f>
        <v>1738.8</v>
      </c>
      <c r="N477" s="7">
        <f>DAY(InputData[[#This Row],[DATE]])</f>
        <v>28</v>
      </c>
      <c r="O477" s="7" t="str">
        <f>TEXT(InputData[[#This Row],[DATE]],"MMM")</f>
        <v>May</v>
      </c>
      <c r="P477" s="7">
        <f>YEAR(InputData[[#This Row],[DATE]])</f>
        <v>2022</v>
      </c>
    </row>
    <row r="478" spans="1:16" x14ac:dyDescent="0.25">
      <c r="A478" s="3">
        <v>44748</v>
      </c>
      <c r="B478" s="4" t="s">
        <v>92</v>
      </c>
      <c r="C478" s="5">
        <v>2</v>
      </c>
      <c r="D478" s="5" t="s">
        <v>108</v>
      </c>
      <c r="E478" s="5" t="s">
        <v>107</v>
      </c>
      <c r="F478" s="6">
        <v>0</v>
      </c>
      <c r="G478" s="7" t="str">
        <f>VLOOKUP(InputData[[#This Row],[PRODUCT ID]],MasterData[],2,0)</f>
        <v>Meat</v>
      </c>
      <c r="H478" s="7" t="str">
        <f>VLOOKUP(InputData[[#This Row],[PRODUCT ID]],MasterData[],3,0)</f>
        <v>Category05</v>
      </c>
      <c r="I478" s="7" t="str">
        <f>VLOOKUP(InputData[[#This Row],[PRODUCT ID]],MasterData[],4,0)</f>
        <v>Ft</v>
      </c>
      <c r="J478" s="7">
        <f>VLOOKUP(InputData[[#This Row],[PRODUCT ID]],MasterData[],5,0)</f>
        <v>138</v>
      </c>
      <c r="K478" s="8">
        <f>VLOOKUP(InputData[[#This Row],[PRODUCT ID]],MasterData[],6,0)</f>
        <v>173.88</v>
      </c>
      <c r="L478" s="8">
        <f>InputData[[#This Row],[BUYING PRIZE]]*InputData[[#This Row],[QUANTITY]]</f>
        <v>276</v>
      </c>
      <c r="M478" s="8">
        <f>InputData[[#This Row],[SELLING PRICE]]*InputData[[#This Row],[QUANTITY]]*(1-InputData[[#This Row],[DISCOUNT %]])</f>
        <v>347.76</v>
      </c>
      <c r="N478" s="7">
        <f>DAY(InputData[[#This Row],[DATE]])</f>
        <v>6</v>
      </c>
      <c r="O478" s="7" t="str">
        <f>TEXT(InputData[[#This Row],[DATE]],"MMM")</f>
        <v>Jul</v>
      </c>
      <c r="P478" s="7">
        <f>YEAR(InputData[[#This Row],[DATE]])</f>
        <v>2022</v>
      </c>
    </row>
    <row r="479" spans="1:16" x14ac:dyDescent="0.25">
      <c r="A479" s="3">
        <v>44759</v>
      </c>
      <c r="B479" s="4" t="s">
        <v>92</v>
      </c>
      <c r="C479" s="5">
        <v>8</v>
      </c>
      <c r="D479" s="5" t="s">
        <v>106</v>
      </c>
      <c r="E479" s="5" t="s">
        <v>107</v>
      </c>
      <c r="F479" s="6">
        <v>0</v>
      </c>
      <c r="G479" s="7" t="str">
        <f>VLOOKUP(InputData[[#This Row],[PRODUCT ID]],MasterData[],2,0)</f>
        <v>Meat</v>
      </c>
      <c r="H479" s="7" t="str">
        <f>VLOOKUP(InputData[[#This Row],[PRODUCT ID]],MasterData[],3,0)</f>
        <v>Category05</v>
      </c>
      <c r="I479" s="7" t="str">
        <f>VLOOKUP(InputData[[#This Row],[PRODUCT ID]],MasterData[],4,0)</f>
        <v>Ft</v>
      </c>
      <c r="J479" s="7">
        <f>VLOOKUP(InputData[[#This Row],[PRODUCT ID]],MasterData[],5,0)</f>
        <v>138</v>
      </c>
      <c r="K479" s="8">
        <f>VLOOKUP(InputData[[#This Row],[PRODUCT ID]],MasterData[],6,0)</f>
        <v>173.88</v>
      </c>
      <c r="L479" s="8">
        <f>InputData[[#This Row],[BUYING PRIZE]]*InputData[[#This Row],[QUANTITY]]</f>
        <v>1104</v>
      </c>
      <c r="M479" s="8">
        <f>InputData[[#This Row],[SELLING PRICE]]*InputData[[#This Row],[QUANTITY]]*(1-InputData[[#This Row],[DISCOUNT %]])</f>
        <v>1391.04</v>
      </c>
      <c r="N479" s="7">
        <f>DAY(InputData[[#This Row],[DATE]])</f>
        <v>17</v>
      </c>
      <c r="O479" s="7" t="str">
        <f>TEXT(InputData[[#This Row],[DATE]],"MMM")</f>
        <v>Jul</v>
      </c>
      <c r="P479" s="7">
        <f>YEAR(InputData[[#This Row],[DATE]])</f>
        <v>2022</v>
      </c>
    </row>
    <row r="480" spans="1:16" x14ac:dyDescent="0.25">
      <c r="A480" s="3">
        <v>44813</v>
      </c>
      <c r="B480" s="4" t="s">
        <v>92</v>
      </c>
      <c r="C480" s="5">
        <v>9</v>
      </c>
      <c r="D480" s="5" t="s">
        <v>108</v>
      </c>
      <c r="E480" s="5" t="s">
        <v>106</v>
      </c>
      <c r="F480" s="6">
        <v>0</v>
      </c>
      <c r="G480" s="7" t="str">
        <f>VLOOKUP(InputData[[#This Row],[PRODUCT ID]],MasterData[],2,0)</f>
        <v>Meat</v>
      </c>
      <c r="H480" s="7" t="str">
        <f>VLOOKUP(InputData[[#This Row],[PRODUCT ID]],MasterData[],3,0)</f>
        <v>Category05</v>
      </c>
      <c r="I480" s="7" t="str">
        <f>VLOOKUP(InputData[[#This Row],[PRODUCT ID]],MasterData[],4,0)</f>
        <v>Ft</v>
      </c>
      <c r="J480" s="7">
        <f>VLOOKUP(InputData[[#This Row],[PRODUCT ID]],MasterData[],5,0)</f>
        <v>138</v>
      </c>
      <c r="K480" s="8">
        <f>VLOOKUP(InputData[[#This Row],[PRODUCT ID]],MasterData[],6,0)</f>
        <v>173.88</v>
      </c>
      <c r="L480" s="8">
        <f>InputData[[#This Row],[BUYING PRIZE]]*InputData[[#This Row],[QUANTITY]]</f>
        <v>1242</v>
      </c>
      <c r="M480" s="8">
        <f>InputData[[#This Row],[SELLING PRICE]]*InputData[[#This Row],[QUANTITY]]*(1-InputData[[#This Row],[DISCOUNT %]])</f>
        <v>1564.92</v>
      </c>
      <c r="N480" s="7">
        <f>DAY(InputData[[#This Row],[DATE]])</f>
        <v>9</v>
      </c>
      <c r="O480" s="7" t="str">
        <f>TEXT(InputData[[#This Row],[DATE]],"MMM")</f>
        <v>Sep</v>
      </c>
      <c r="P480" s="7">
        <f>YEAR(InputData[[#This Row],[DATE]])</f>
        <v>2022</v>
      </c>
    </row>
    <row r="481" spans="1:16" x14ac:dyDescent="0.25">
      <c r="A481" s="3">
        <v>44907</v>
      </c>
      <c r="B481" s="4" t="s">
        <v>92</v>
      </c>
      <c r="C481" s="5">
        <v>10</v>
      </c>
      <c r="D481" s="5" t="s">
        <v>105</v>
      </c>
      <c r="E481" s="5" t="s">
        <v>106</v>
      </c>
      <c r="F481" s="6">
        <v>0</v>
      </c>
      <c r="G481" s="7" t="str">
        <f>VLOOKUP(InputData[[#This Row],[PRODUCT ID]],MasterData[],2,0)</f>
        <v>Meat</v>
      </c>
      <c r="H481" s="7" t="str">
        <f>VLOOKUP(InputData[[#This Row],[PRODUCT ID]],MasterData[],3,0)</f>
        <v>Category05</v>
      </c>
      <c r="I481" s="7" t="str">
        <f>VLOOKUP(InputData[[#This Row],[PRODUCT ID]],MasterData[],4,0)</f>
        <v>Ft</v>
      </c>
      <c r="J481" s="7">
        <f>VLOOKUP(InputData[[#This Row],[PRODUCT ID]],MasterData[],5,0)</f>
        <v>138</v>
      </c>
      <c r="K481" s="8">
        <f>VLOOKUP(InputData[[#This Row],[PRODUCT ID]],MasterData[],6,0)</f>
        <v>173.88</v>
      </c>
      <c r="L481" s="8">
        <f>InputData[[#This Row],[BUYING PRIZE]]*InputData[[#This Row],[QUANTITY]]</f>
        <v>1380</v>
      </c>
      <c r="M481" s="8">
        <f>InputData[[#This Row],[SELLING PRICE]]*InputData[[#This Row],[QUANTITY]]*(1-InputData[[#This Row],[DISCOUNT %]])</f>
        <v>1738.8</v>
      </c>
      <c r="N481" s="7">
        <f>DAY(InputData[[#This Row],[DATE]])</f>
        <v>12</v>
      </c>
      <c r="O481" s="7" t="str">
        <f>TEXT(InputData[[#This Row],[DATE]],"MMM")</f>
        <v>Dec</v>
      </c>
      <c r="P481" s="7">
        <f>YEAR(InputData[[#This Row],[DATE]])</f>
        <v>2022</v>
      </c>
    </row>
    <row r="482" spans="1:16" x14ac:dyDescent="0.25">
      <c r="A482" s="3">
        <v>44925</v>
      </c>
      <c r="B482" s="4" t="s">
        <v>92</v>
      </c>
      <c r="C482" s="5">
        <v>14</v>
      </c>
      <c r="D482" s="5" t="s">
        <v>108</v>
      </c>
      <c r="E482" s="5" t="s">
        <v>106</v>
      </c>
      <c r="F482" s="6">
        <v>0</v>
      </c>
      <c r="G482" s="7" t="str">
        <f>VLOOKUP(InputData[[#This Row],[PRODUCT ID]],MasterData[],2,0)</f>
        <v>Meat</v>
      </c>
      <c r="H482" s="7" t="str">
        <f>VLOOKUP(InputData[[#This Row],[PRODUCT ID]],MasterData[],3,0)</f>
        <v>Category05</v>
      </c>
      <c r="I482" s="7" t="str">
        <f>VLOOKUP(InputData[[#This Row],[PRODUCT ID]],MasterData[],4,0)</f>
        <v>Ft</v>
      </c>
      <c r="J482" s="7">
        <f>VLOOKUP(InputData[[#This Row],[PRODUCT ID]],MasterData[],5,0)</f>
        <v>138</v>
      </c>
      <c r="K482" s="8">
        <f>VLOOKUP(InputData[[#This Row],[PRODUCT ID]],MasterData[],6,0)</f>
        <v>173.88</v>
      </c>
      <c r="L482" s="8">
        <f>InputData[[#This Row],[BUYING PRIZE]]*InputData[[#This Row],[QUANTITY]]</f>
        <v>1932</v>
      </c>
      <c r="M482" s="8">
        <f>InputData[[#This Row],[SELLING PRICE]]*InputData[[#This Row],[QUANTITY]]*(1-InputData[[#This Row],[DISCOUNT %]])</f>
        <v>2434.3199999999997</v>
      </c>
      <c r="N482" s="7">
        <f>DAY(InputData[[#This Row],[DATE]])</f>
        <v>30</v>
      </c>
      <c r="O482" s="7" t="str">
        <f>TEXT(InputData[[#This Row],[DATE]],"MMM")</f>
        <v>Dec</v>
      </c>
      <c r="P482" s="7">
        <f>YEAR(InputData[[#This Row],[DATE]])</f>
        <v>2022</v>
      </c>
    </row>
    <row r="483" spans="1:16" x14ac:dyDescent="0.25">
      <c r="A483" s="3">
        <v>44207</v>
      </c>
      <c r="B483" s="4" t="s">
        <v>94</v>
      </c>
      <c r="C483" s="5">
        <v>4</v>
      </c>
      <c r="D483" s="5" t="s">
        <v>108</v>
      </c>
      <c r="E483" s="5" t="s">
        <v>106</v>
      </c>
      <c r="F483" s="6">
        <v>0</v>
      </c>
      <c r="G483" s="7" t="str">
        <f>VLOOKUP(InputData[[#This Row],[PRODUCT ID]],MasterData[],2,0)</f>
        <v>Chicken</v>
      </c>
      <c r="H483" s="7" t="str">
        <f>VLOOKUP(InputData[[#This Row],[PRODUCT ID]],MasterData[],3,0)</f>
        <v>Category05</v>
      </c>
      <c r="I483" s="7" t="str">
        <f>VLOOKUP(InputData[[#This Row],[PRODUCT ID]],MasterData[],4,0)</f>
        <v>Ft</v>
      </c>
      <c r="J483" s="7">
        <f>VLOOKUP(InputData[[#This Row],[PRODUCT ID]],MasterData[],5,0)</f>
        <v>120</v>
      </c>
      <c r="K483" s="8">
        <f>VLOOKUP(InputData[[#This Row],[PRODUCT ID]],MasterData[],6,0)</f>
        <v>162</v>
      </c>
      <c r="L483" s="8">
        <f>InputData[[#This Row],[BUYING PRIZE]]*InputData[[#This Row],[QUANTITY]]</f>
        <v>480</v>
      </c>
      <c r="M483" s="8">
        <f>InputData[[#This Row],[SELLING PRICE]]*InputData[[#This Row],[QUANTITY]]*(1-InputData[[#This Row],[DISCOUNT %]])</f>
        <v>648</v>
      </c>
      <c r="N483" s="7">
        <f>DAY(InputData[[#This Row],[DATE]])</f>
        <v>11</v>
      </c>
      <c r="O483" s="7" t="str">
        <f>TEXT(InputData[[#This Row],[DATE]],"MMM")</f>
        <v>Jan</v>
      </c>
      <c r="P483" s="7">
        <f>YEAR(InputData[[#This Row],[DATE]])</f>
        <v>2021</v>
      </c>
    </row>
    <row r="484" spans="1:16" x14ac:dyDescent="0.25">
      <c r="A484" s="3">
        <v>44208</v>
      </c>
      <c r="B484" s="4" t="s">
        <v>94</v>
      </c>
      <c r="C484" s="5">
        <v>10</v>
      </c>
      <c r="D484" s="5" t="s">
        <v>106</v>
      </c>
      <c r="E484" s="5" t="s">
        <v>107</v>
      </c>
      <c r="F484" s="6">
        <v>0</v>
      </c>
      <c r="G484" s="7" t="str">
        <f>VLOOKUP(InputData[[#This Row],[PRODUCT ID]],MasterData[],2,0)</f>
        <v>Chicken</v>
      </c>
      <c r="H484" s="7" t="str">
        <f>VLOOKUP(InputData[[#This Row],[PRODUCT ID]],MasterData[],3,0)</f>
        <v>Category05</v>
      </c>
      <c r="I484" s="7" t="str">
        <f>VLOOKUP(InputData[[#This Row],[PRODUCT ID]],MasterData[],4,0)</f>
        <v>Ft</v>
      </c>
      <c r="J484" s="7">
        <f>VLOOKUP(InputData[[#This Row],[PRODUCT ID]],MasterData[],5,0)</f>
        <v>120</v>
      </c>
      <c r="K484" s="8">
        <f>VLOOKUP(InputData[[#This Row],[PRODUCT ID]],MasterData[],6,0)</f>
        <v>162</v>
      </c>
      <c r="L484" s="8">
        <f>InputData[[#This Row],[BUYING PRIZE]]*InputData[[#This Row],[QUANTITY]]</f>
        <v>1200</v>
      </c>
      <c r="M484" s="8">
        <f>InputData[[#This Row],[SELLING PRICE]]*InputData[[#This Row],[QUANTITY]]*(1-InputData[[#This Row],[DISCOUNT %]])</f>
        <v>1620</v>
      </c>
      <c r="N484" s="7">
        <f>DAY(InputData[[#This Row],[DATE]])</f>
        <v>12</v>
      </c>
      <c r="O484" s="7" t="str">
        <f>TEXT(InputData[[#This Row],[DATE]],"MMM")</f>
        <v>Jan</v>
      </c>
      <c r="P484" s="7">
        <f>YEAR(InputData[[#This Row],[DATE]])</f>
        <v>2021</v>
      </c>
    </row>
    <row r="485" spans="1:16" x14ac:dyDescent="0.25">
      <c r="A485" s="3">
        <v>44217</v>
      </c>
      <c r="B485" s="4" t="s">
        <v>94</v>
      </c>
      <c r="C485" s="5">
        <v>6</v>
      </c>
      <c r="D485" s="5" t="s">
        <v>108</v>
      </c>
      <c r="E485" s="5" t="s">
        <v>106</v>
      </c>
      <c r="F485" s="6">
        <v>0</v>
      </c>
      <c r="G485" s="7" t="str">
        <f>VLOOKUP(InputData[[#This Row],[PRODUCT ID]],MasterData[],2,0)</f>
        <v>Chicken</v>
      </c>
      <c r="H485" s="7" t="str">
        <f>VLOOKUP(InputData[[#This Row],[PRODUCT ID]],MasterData[],3,0)</f>
        <v>Category05</v>
      </c>
      <c r="I485" s="7" t="str">
        <f>VLOOKUP(InputData[[#This Row],[PRODUCT ID]],MasterData[],4,0)</f>
        <v>Ft</v>
      </c>
      <c r="J485" s="7">
        <f>VLOOKUP(InputData[[#This Row],[PRODUCT ID]],MasterData[],5,0)</f>
        <v>120</v>
      </c>
      <c r="K485" s="8">
        <f>VLOOKUP(InputData[[#This Row],[PRODUCT ID]],MasterData[],6,0)</f>
        <v>162</v>
      </c>
      <c r="L485" s="8">
        <f>InputData[[#This Row],[BUYING PRIZE]]*InputData[[#This Row],[QUANTITY]]</f>
        <v>720</v>
      </c>
      <c r="M485" s="8">
        <f>InputData[[#This Row],[SELLING PRICE]]*InputData[[#This Row],[QUANTITY]]*(1-InputData[[#This Row],[DISCOUNT %]])</f>
        <v>972</v>
      </c>
      <c r="N485" s="7">
        <f>DAY(InputData[[#This Row],[DATE]])</f>
        <v>21</v>
      </c>
      <c r="O485" s="7" t="str">
        <f>TEXT(InputData[[#This Row],[DATE]],"MMM")</f>
        <v>Jan</v>
      </c>
      <c r="P485" s="7">
        <f>YEAR(InputData[[#This Row],[DATE]])</f>
        <v>2021</v>
      </c>
    </row>
    <row r="486" spans="1:16" x14ac:dyDescent="0.25">
      <c r="A486" s="3">
        <v>44273</v>
      </c>
      <c r="B486" s="4" t="s">
        <v>94</v>
      </c>
      <c r="C486" s="5">
        <v>8</v>
      </c>
      <c r="D486" s="5" t="s">
        <v>105</v>
      </c>
      <c r="E486" s="5" t="s">
        <v>107</v>
      </c>
      <c r="F486" s="6">
        <v>0</v>
      </c>
      <c r="G486" s="7" t="str">
        <f>VLOOKUP(InputData[[#This Row],[PRODUCT ID]],MasterData[],2,0)</f>
        <v>Chicken</v>
      </c>
      <c r="H486" s="7" t="str">
        <f>VLOOKUP(InputData[[#This Row],[PRODUCT ID]],MasterData[],3,0)</f>
        <v>Category05</v>
      </c>
      <c r="I486" s="7" t="str">
        <f>VLOOKUP(InputData[[#This Row],[PRODUCT ID]],MasterData[],4,0)</f>
        <v>Ft</v>
      </c>
      <c r="J486" s="7">
        <f>VLOOKUP(InputData[[#This Row],[PRODUCT ID]],MasterData[],5,0)</f>
        <v>120</v>
      </c>
      <c r="K486" s="8">
        <f>VLOOKUP(InputData[[#This Row],[PRODUCT ID]],MasterData[],6,0)</f>
        <v>162</v>
      </c>
      <c r="L486" s="8">
        <f>InputData[[#This Row],[BUYING PRIZE]]*InputData[[#This Row],[QUANTITY]]</f>
        <v>960</v>
      </c>
      <c r="M486" s="8">
        <f>InputData[[#This Row],[SELLING PRICE]]*InputData[[#This Row],[QUANTITY]]*(1-InputData[[#This Row],[DISCOUNT %]])</f>
        <v>1296</v>
      </c>
      <c r="N486" s="7">
        <f>DAY(InputData[[#This Row],[DATE]])</f>
        <v>18</v>
      </c>
      <c r="O486" s="7" t="str">
        <f>TEXT(InputData[[#This Row],[DATE]],"MMM")</f>
        <v>Mar</v>
      </c>
      <c r="P486" s="7">
        <f>YEAR(InputData[[#This Row],[DATE]])</f>
        <v>2021</v>
      </c>
    </row>
    <row r="487" spans="1:16" x14ac:dyDescent="0.25">
      <c r="A487" s="3">
        <v>44281</v>
      </c>
      <c r="B487" s="4" t="s">
        <v>94</v>
      </c>
      <c r="C487" s="5">
        <v>1</v>
      </c>
      <c r="D487" s="5" t="s">
        <v>108</v>
      </c>
      <c r="E487" s="5" t="s">
        <v>107</v>
      </c>
      <c r="F487" s="6">
        <v>0</v>
      </c>
      <c r="G487" s="7" t="str">
        <f>VLOOKUP(InputData[[#This Row],[PRODUCT ID]],MasterData[],2,0)</f>
        <v>Chicken</v>
      </c>
      <c r="H487" s="7" t="str">
        <f>VLOOKUP(InputData[[#This Row],[PRODUCT ID]],MasterData[],3,0)</f>
        <v>Category05</v>
      </c>
      <c r="I487" s="7" t="str">
        <f>VLOOKUP(InputData[[#This Row],[PRODUCT ID]],MasterData[],4,0)</f>
        <v>Ft</v>
      </c>
      <c r="J487" s="7">
        <f>VLOOKUP(InputData[[#This Row],[PRODUCT ID]],MasterData[],5,0)</f>
        <v>120</v>
      </c>
      <c r="K487" s="8">
        <f>VLOOKUP(InputData[[#This Row],[PRODUCT ID]],MasterData[],6,0)</f>
        <v>162</v>
      </c>
      <c r="L487" s="8">
        <f>InputData[[#This Row],[BUYING PRIZE]]*InputData[[#This Row],[QUANTITY]]</f>
        <v>120</v>
      </c>
      <c r="M487" s="8">
        <f>InputData[[#This Row],[SELLING PRICE]]*InputData[[#This Row],[QUANTITY]]*(1-InputData[[#This Row],[DISCOUNT %]])</f>
        <v>162</v>
      </c>
      <c r="N487" s="7">
        <f>DAY(InputData[[#This Row],[DATE]])</f>
        <v>26</v>
      </c>
      <c r="O487" s="7" t="str">
        <f>TEXT(InputData[[#This Row],[DATE]],"MMM")</f>
        <v>Mar</v>
      </c>
      <c r="P487" s="7">
        <f>YEAR(InputData[[#This Row],[DATE]])</f>
        <v>2021</v>
      </c>
    </row>
    <row r="488" spans="1:16" x14ac:dyDescent="0.25">
      <c r="A488" s="3">
        <v>44286</v>
      </c>
      <c r="B488" s="4" t="s">
        <v>94</v>
      </c>
      <c r="C488" s="5">
        <v>3</v>
      </c>
      <c r="D488" s="5" t="s">
        <v>108</v>
      </c>
      <c r="E488" s="5" t="s">
        <v>107</v>
      </c>
      <c r="F488" s="6">
        <v>0</v>
      </c>
      <c r="G488" s="7" t="str">
        <f>VLOOKUP(InputData[[#This Row],[PRODUCT ID]],MasterData[],2,0)</f>
        <v>Chicken</v>
      </c>
      <c r="H488" s="7" t="str">
        <f>VLOOKUP(InputData[[#This Row],[PRODUCT ID]],MasterData[],3,0)</f>
        <v>Category05</v>
      </c>
      <c r="I488" s="7" t="str">
        <f>VLOOKUP(InputData[[#This Row],[PRODUCT ID]],MasterData[],4,0)</f>
        <v>Ft</v>
      </c>
      <c r="J488" s="7">
        <f>VLOOKUP(InputData[[#This Row],[PRODUCT ID]],MasterData[],5,0)</f>
        <v>120</v>
      </c>
      <c r="K488" s="8">
        <f>VLOOKUP(InputData[[#This Row],[PRODUCT ID]],MasterData[],6,0)</f>
        <v>162</v>
      </c>
      <c r="L488" s="8">
        <f>InputData[[#This Row],[BUYING PRIZE]]*InputData[[#This Row],[QUANTITY]]</f>
        <v>360</v>
      </c>
      <c r="M488" s="8">
        <f>InputData[[#This Row],[SELLING PRICE]]*InputData[[#This Row],[QUANTITY]]*(1-InputData[[#This Row],[DISCOUNT %]])</f>
        <v>486</v>
      </c>
      <c r="N488" s="7">
        <f>DAY(InputData[[#This Row],[DATE]])</f>
        <v>31</v>
      </c>
      <c r="O488" s="7" t="str">
        <f>TEXT(InputData[[#This Row],[DATE]],"MMM")</f>
        <v>Mar</v>
      </c>
      <c r="P488" s="7">
        <f>YEAR(InputData[[#This Row],[DATE]])</f>
        <v>2021</v>
      </c>
    </row>
    <row r="489" spans="1:16" x14ac:dyDescent="0.25">
      <c r="A489" s="3">
        <v>44309</v>
      </c>
      <c r="B489" s="4" t="s">
        <v>94</v>
      </c>
      <c r="C489" s="5">
        <v>6</v>
      </c>
      <c r="D489" s="5" t="s">
        <v>108</v>
      </c>
      <c r="E489" s="5" t="s">
        <v>106</v>
      </c>
      <c r="F489" s="6">
        <v>0</v>
      </c>
      <c r="G489" s="7" t="str">
        <f>VLOOKUP(InputData[[#This Row],[PRODUCT ID]],MasterData[],2,0)</f>
        <v>Chicken</v>
      </c>
      <c r="H489" s="7" t="str">
        <f>VLOOKUP(InputData[[#This Row],[PRODUCT ID]],MasterData[],3,0)</f>
        <v>Category05</v>
      </c>
      <c r="I489" s="7" t="str">
        <f>VLOOKUP(InputData[[#This Row],[PRODUCT ID]],MasterData[],4,0)</f>
        <v>Ft</v>
      </c>
      <c r="J489" s="7">
        <f>VLOOKUP(InputData[[#This Row],[PRODUCT ID]],MasterData[],5,0)</f>
        <v>120</v>
      </c>
      <c r="K489" s="8">
        <f>VLOOKUP(InputData[[#This Row],[PRODUCT ID]],MasterData[],6,0)</f>
        <v>162</v>
      </c>
      <c r="L489" s="8">
        <f>InputData[[#This Row],[BUYING PRIZE]]*InputData[[#This Row],[QUANTITY]]</f>
        <v>720</v>
      </c>
      <c r="M489" s="8">
        <f>InputData[[#This Row],[SELLING PRICE]]*InputData[[#This Row],[QUANTITY]]*(1-InputData[[#This Row],[DISCOUNT %]])</f>
        <v>972</v>
      </c>
      <c r="N489" s="7">
        <f>DAY(InputData[[#This Row],[DATE]])</f>
        <v>23</v>
      </c>
      <c r="O489" s="7" t="str">
        <f>TEXT(InputData[[#This Row],[DATE]],"MMM")</f>
        <v>Apr</v>
      </c>
      <c r="P489" s="7">
        <f>YEAR(InputData[[#This Row],[DATE]])</f>
        <v>2021</v>
      </c>
    </row>
    <row r="490" spans="1:16" x14ac:dyDescent="0.25">
      <c r="A490" s="3">
        <v>44317</v>
      </c>
      <c r="B490" s="4" t="s">
        <v>94</v>
      </c>
      <c r="C490" s="5">
        <v>1</v>
      </c>
      <c r="D490" s="5" t="s">
        <v>106</v>
      </c>
      <c r="E490" s="5" t="s">
        <v>107</v>
      </c>
      <c r="F490" s="6">
        <v>0</v>
      </c>
      <c r="G490" s="7" t="str">
        <f>VLOOKUP(InputData[[#This Row],[PRODUCT ID]],MasterData[],2,0)</f>
        <v>Chicken</v>
      </c>
      <c r="H490" s="7" t="str">
        <f>VLOOKUP(InputData[[#This Row],[PRODUCT ID]],MasterData[],3,0)</f>
        <v>Category05</v>
      </c>
      <c r="I490" s="7" t="str">
        <f>VLOOKUP(InputData[[#This Row],[PRODUCT ID]],MasterData[],4,0)</f>
        <v>Ft</v>
      </c>
      <c r="J490" s="7">
        <f>VLOOKUP(InputData[[#This Row],[PRODUCT ID]],MasterData[],5,0)</f>
        <v>120</v>
      </c>
      <c r="K490" s="8">
        <f>VLOOKUP(InputData[[#This Row],[PRODUCT ID]],MasterData[],6,0)</f>
        <v>162</v>
      </c>
      <c r="L490" s="8">
        <f>InputData[[#This Row],[BUYING PRIZE]]*InputData[[#This Row],[QUANTITY]]</f>
        <v>120</v>
      </c>
      <c r="M490" s="8">
        <f>InputData[[#This Row],[SELLING PRICE]]*InputData[[#This Row],[QUANTITY]]*(1-InputData[[#This Row],[DISCOUNT %]])</f>
        <v>162</v>
      </c>
      <c r="N490" s="7">
        <f>DAY(InputData[[#This Row],[DATE]])</f>
        <v>1</v>
      </c>
      <c r="O490" s="7" t="str">
        <f>TEXT(InputData[[#This Row],[DATE]],"MMM")</f>
        <v>May</v>
      </c>
      <c r="P490" s="7">
        <f>YEAR(InputData[[#This Row],[DATE]])</f>
        <v>2021</v>
      </c>
    </row>
    <row r="491" spans="1:16" x14ac:dyDescent="0.25">
      <c r="A491" s="3">
        <v>44336</v>
      </c>
      <c r="B491" s="4" t="s">
        <v>94</v>
      </c>
      <c r="C491" s="5">
        <v>2</v>
      </c>
      <c r="D491" s="5" t="s">
        <v>106</v>
      </c>
      <c r="E491" s="5" t="s">
        <v>107</v>
      </c>
      <c r="F491" s="6">
        <v>0</v>
      </c>
      <c r="G491" s="7" t="str">
        <f>VLOOKUP(InputData[[#This Row],[PRODUCT ID]],MasterData[],2,0)</f>
        <v>Chicken</v>
      </c>
      <c r="H491" s="7" t="str">
        <f>VLOOKUP(InputData[[#This Row],[PRODUCT ID]],MasterData[],3,0)</f>
        <v>Category05</v>
      </c>
      <c r="I491" s="7" t="str">
        <f>VLOOKUP(InputData[[#This Row],[PRODUCT ID]],MasterData[],4,0)</f>
        <v>Ft</v>
      </c>
      <c r="J491" s="7">
        <f>VLOOKUP(InputData[[#This Row],[PRODUCT ID]],MasterData[],5,0)</f>
        <v>120</v>
      </c>
      <c r="K491" s="8">
        <f>VLOOKUP(InputData[[#This Row],[PRODUCT ID]],MasterData[],6,0)</f>
        <v>162</v>
      </c>
      <c r="L491" s="8">
        <f>InputData[[#This Row],[BUYING PRIZE]]*InputData[[#This Row],[QUANTITY]]</f>
        <v>240</v>
      </c>
      <c r="M491" s="8">
        <f>InputData[[#This Row],[SELLING PRICE]]*InputData[[#This Row],[QUANTITY]]*(1-InputData[[#This Row],[DISCOUNT %]])</f>
        <v>324</v>
      </c>
      <c r="N491" s="7">
        <f>DAY(InputData[[#This Row],[DATE]])</f>
        <v>20</v>
      </c>
      <c r="O491" s="7" t="str">
        <f>TEXT(InputData[[#This Row],[DATE]],"MMM")</f>
        <v>May</v>
      </c>
      <c r="P491" s="7">
        <f>YEAR(InputData[[#This Row],[DATE]])</f>
        <v>2021</v>
      </c>
    </row>
    <row r="492" spans="1:16" x14ac:dyDescent="0.25">
      <c r="A492" s="3">
        <v>44454</v>
      </c>
      <c r="B492" s="4" t="s">
        <v>94</v>
      </c>
      <c r="C492" s="5">
        <v>6</v>
      </c>
      <c r="D492" s="5" t="s">
        <v>108</v>
      </c>
      <c r="E492" s="5" t="s">
        <v>106</v>
      </c>
      <c r="F492" s="6">
        <v>0</v>
      </c>
      <c r="G492" s="7" t="str">
        <f>VLOOKUP(InputData[[#This Row],[PRODUCT ID]],MasterData[],2,0)</f>
        <v>Chicken</v>
      </c>
      <c r="H492" s="7" t="str">
        <f>VLOOKUP(InputData[[#This Row],[PRODUCT ID]],MasterData[],3,0)</f>
        <v>Category05</v>
      </c>
      <c r="I492" s="7" t="str">
        <f>VLOOKUP(InputData[[#This Row],[PRODUCT ID]],MasterData[],4,0)</f>
        <v>Ft</v>
      </c>
      <c r="J492" s="7">
        <f>VLOOKUP(InputData[[#This Row],[PRODUCT ID]],MasterData[],5,0)</f>
        <v>120</v>
      </c>
      <c r="K492" s="8">
        <f>VLOOKUP(InputData[[#This Row],[PRODUCT ID]],MasterData[],6,0)</f>
        <v>162</v>
      </c>
      <c r="L492" s="8">
        <f>InputData[[#This Row],[BUYING PRIZE]]*InputData[[#This Row],[QUANTITY]]</f>
        <v>720</v>
      </c>
      <c r="M492" s="8">
        <f>InputData[[#This Row],[SELLING PRICE]]*InputData[[#This Row],[QUANTITY]]*(1-InputData[[#This Row],[DISCOUNT %]])</f>
        <v>972</v>
      </c>
      <c r="N492" s="7">
        <f>DAY(InputData[[#This Row],[DATE]])</f>
        <v>15</v>
      </c>
      <c r="O492" s="7" t="str">
        <f>TEXT(InputData[[#This Row],[DATE]],"MMM")</f>
        <v>Sep</v>
      </c>
      <c r="P492" s="7">
        <f>YEAR(InputData[[#This Row],[DATE]])</f>
        <v>2021</v>
      </c>
    </row>
    <row r="493" spans="1:16" x14ac:dyDescent="0.25">
      <c r="A493" s="3">
        <v>44454</v>
      </c>
      <c r="B493" s="4" t="s">
        <v>94</v>
      </c>
      <c r="C493" s="5">
        <v>14</v>
      </c>
      <c r="D493" s="5" t="s">
        <v>108</v>
      </c>
      <c r="E493" s="5" t="s">
        <v>106</v>
      </c>
      <c r="F493" s="6">
        <v>0</v>
      </c>
      <c r="G493" s="7" t="str">
        <f>VLOOKUP(InputData[[#This Row],[PRODUCT ID]],MasterData[],2,0)</f>
        <v>Chicken</v>
      </c>
      <c r="H493" s="7" t="str">
        <f>VLOOKUP(InputData[[#This Row],[PRODUCT ID]],MasterData[],3,0)</f>
        <v>Category05</v>
      </c>
      <c r="I493" s="7" t="str">
        <f>VLOOKUP(InputData[[#This Row],[PRODUCT ID]],MasterData[],4,0)</f>
        <v>Ft</v>
      </c>
      <c r="J493" s="7">
        <f>VLOOKUP(InputData[[#This Row],[PRODUCT ID]],MasterData[],5,0)</f>
        <v>120</v>
      </c>
      <c r="K493" s="8">
        <f>VLOOKUP(InputData[[#This Row],[PRODUCT ID]],MasterData[],6,0)</f>
        <v>162</v>
      </c>
      <c r="L493" s="8">
        <f>InputData[[#This Row],[BUYING PRIZE]]*InputData[[#This Row],[QUANTITY]]</f>
        <v>1680</v>
      </c>
      <c r="M493" s="8">
        <f>InputData[[#This Row],[SELLING PRICE]]*InputData[[#This Row],[QUANTITY]]*(1-InputData[[#This Row],[DISCOUNT %]])</f>
        <v>2268</v>
      </c>
      <c r="N493" s="7">
        <f>DAY(InputData[[#This Row],[DATE]])</f>
        <v>15</v>
      </c>
      <c r="O493" s="7" t="str">
        <f>TEXT(InputData[[#This Row],[DATE]],"MMM")</f>
        <v>Sep</v>
      </c>
      <c r="P493" s="7">
        <f>YEAR(InputData[[#This Row],[DATE]])</f>
        <v>2021</v>
      </c>
    </row>
    <row r="494" spans="1:16" x14ac:dyDescent="0.25">
      <c r="A494" s="3">
        <v>44510</v>
      </c>
      <c r="B494" s="4" t="s">
        <v>94</v>
      </c>
      <c r="C494" s="5">
        <v>6</v>
      </c>
      <c r="D494" s="5" t="s">
        <v>106</v>
      </c>
      <c r="E494" s="5" t="s">
        <v>107</v>
      </c>
      <c r="F494" s="6">
        <v>0</v>
      </c>
      <c r="G494" s="7" t="str">
        <f>VLOOKUP(InputData[[#This Row],[PRODUCT ID]],MasterData[],2,0)</f>
        <v>Chicken</v>
      </c>
      <c r="H494" s="7" t="str">
        <f>VLOOKUP(InputData[[#This Row],[PRODUCT ID]],MasterData[],3,0)</f>
        <v>Category05</v>
      </c>
      <c r="I494" s="7" t="str">
        <f>VLOOKUP(InputData[[#This Row],[PRODUCT ID]],MasterData[],4,0)</f>
        <v>Ft</v>
      </c>
      <c r="J494" s="7">
        <f>VLOOKUP(InputData[[#This Row],[PRODUCT ID]],MasterData[],5,0)</f>
        <v>120</v>
      </c>
      <c r="K494" s="8">
        <f>VLOOKUP(InputData[[#This Row],[PRODUCT ID]],MasterData[],6,0)</f>
        <v>162</v>
      </c>
      <c r="L494" s="8">
        <f>InputData[[#This Row],[BUYING PRIZE]]*InputData[[#This Row],[QUANTITY]]</f>
        <v>720</v>
      </c>
      <c r="M494" s="8">
        <f>InputData[[#This Row],[SELLING PRICE]]*InputData[[#This Row],[QUANTITY]]*(1-InputData[[#This Row],[DISCOUNT %]])</f>
        <v>972</v>
      </c>
      <c r="N494" s="7">
        <f>DAY(InputData[[#This Row],[DATE]])</f>
        <v>10</v>
      </c>
      <c r="O494" s="7" t="str">
        <f>TEXT(InputData[[#This Row],[DATE]],"MMM")</f>
        <v>Nov</v>
      </c>
      <c r="P494" s="7">
        <f>YEAR(InputData[[#This Row],[DATE]])</f>
        <v>2021</v>
      </c>
    </row>
    <row r="495" spans="1:16" x14ac:dyDescent="0.25">
      <c r="A495" s="3">
        <v>44544</v>
      </c>
      <c r="B495" s="4" t="s">
        <v>94</v>
      </c>
      <c r="C495" s="5">
        <v>4</v>
      </c>
      <c r="D495" s="5" t="s">
        <v>108</v>
      </c>
      <c r="E495" s="5" t="s">
        <v>106</v>
      </c>
      <c r="F495" s="6">
        <v>0</v>
      </c>
      <c r="G495" s="7" t="str">
        <f>VLOOKUP(InputData[[#This Row],[PRODUCT ID]],MasterData[],2,0)</f>
        <v>Chicken</v>
      </c>
      <c r="H495" s="7" t="str">
        <f>VLOOKUP(InputData[[#This Row],[PRODUCT ID]],MasterData[],3,0)</f>
        <v>Category05</v>
      </c>
      <c r="I495" s="7" t="str">
        <f>VLOOKUP(InputData[[#This Row],[PRODUCT ID]],MasterData[],4,0)</f>
        <v>Ft</v>
      </c>
      <c r="J495" s="7">
        <f>VLOOKUP(InputData[[#This Row],[PRODUCT ID]],MasterData[],5,0)</f>
        <v>120</v>
      </c>
      <c r="K495" s="8">
        <f>VLOOKUP(InputData[[#This Row],[PRODUCT ID]],MasterData[],6,0)</f>
        <v>162</v>
      </c>
      <c r="L495" s="8">
        <f>InputData[[#This Row],[BUYING PRIZE]]*InputData[[#This Row],[QUANTITY]]</f>
        <v>480</v>
      </c>
      <c r="M495" s="8">
        <f>InputData[[#This Row],[SELLING PRICE]]*InputData[[#This Row],[QUANTITY]]*(1-InputData[[#This Row],[DISCOUNT %]])</f>
        <v>648</v>
      </c>
      <c r="N495" s="7">
        <f>DAY(InputData[[#This Row],[DATE]])</f>
        <v>14</v>
      </c>
      <c r="O495" s="7" t="str">
        <f>TEXT(InputData[[#This Row],[DATE]],"MMM")</f>
        <v>Dec</v>
      </c>
      <c r="P495" s="7">
        <f>YEAR(InputData[[#This Row],[DATE]])</f>
        <v>2021</v>
      </c>
    </row>
    <row r="496" spans="1:16" x14ac:dyDescent="0.25">
      <c r="A496" s="3">
        <v>44554</v>
      </c>
      <c r="B496" s="4" t="s">
        <v>94</v>
      </c>
      <c r="C496" s="5">
        <v>8</v>
      </c>
      <c r="D496" s="5" t="s">
        <v>105</v>
      </c>
      <c r="E496" s="5" t="s">
        <v>107</v>
      </c>
      <c r="F496" s="6">
        <v>0</v>
      </c>
      <c r="G496" s="7" t="str">
        <f>VLOOKUP(InputData[[#This Row],[PRODUCT ID]],MasterData[],2,0)</f>
        <v>Chicken</v>
      </c>
      <c r="H496" s="7" t="str">
        <f>VLOOKUP(InputData[[#This Row],[PRODUCT ID]],MasterData[],3,0)</f>
        <v>Category05</v>
      </c>
      <c r="I496" s="7" t="str">
        <f>VLOOKUP(InputData[[#This Row],[PRODUCT ID]],MasterData[],4,0)</f>
        <v>Ft</v>
      </c>
      <c r="J496" s="7">
        <f>VLOOKUP(InputData[[#This Row],[PRODUCT ID]],MasterData[],5,0)</f>
        <v>120</v>
      </c>
      <c r="K496" s="8">
        <f>VLOOKUP(InputData[[#This Row],[PRODUCT ID]],MasterData[],6,0)</f>
        <v>162</v>
      </c>
      <c r="L496" s="8">
        <f>InputData[[#This Row],[BUYING PRIZE]]*InputData[[#This Row],[QUANTITY]]</f>
        <v>960</v>
      </c>
      <c r="M496" s="8">
        <f>InputData[[#This Row],[SELLING PRICE]]*InputData[[#This Row],[QUANTITY]]*(1-InputData[[#This Row],[DISCOUNT %]])</f>
        <v>1296</v>
      </c>
      <c r="N496" s="7">
        <f>DAY(InputData[[#This Row],[DATE]])</f>
        <v>24</v>
      </c>
      <c r="O496" s="7" t="str">
        <f>TEXT(InputData[[#This Row],[DATE]],"MMM")</f>
        <v>Dec</v>
      </c>
      <c r="P496" s="7">
        <f>YEAR(InputData[[#This Row],[DATE]])</f>
        <v>2021</v>
      </c>
    </row>
    <row r="497" spans="1:16" x14ac:dyDescent="0.25">
      <c r="A497" s="3">
        <v>44584</v>
      </c>
      <c r="B497" s="4" t="s">
        <v>94</v>
      </c>
      <c r="C497" s="5">
        <v>8</v>
      </c>
      <c r="D497" s="5" t="s">
        <v>108</v>
      </c>
      <c r="E497" s="5" t="s">
        <v>106</v>
      </c>
      <c r="F497" s="6">
        <v>0</v>
      </c>
      <c r="G497" s="7" t="str">
        <f>VLOOKUP(InputData[[#This Row],[PRODUCT ID]],MasterData[],2,0)</f>
        <v>Chicken</v>
      </c>
      <c r="H497" s="7" t="str">
        <f>VLOOKUP(InputData[[#This Row],[PRODUCT ID]],MasterData[],3,0)</f>
        <v>Category05</v>
      </c>
      <c r="I497" s="7" t="str">
        <f>VLOOKUP(InputData[[#This Row],[PRODUCT ID]],MasterData[],4,0)</f>
        <v>Ft</v>
      </c>
      <c r="J497" s="7">
        <f>VLOOKUP(InputData[[#This Row],[PRODUCT ID]],MasterData[],5,0)</f>
        <v>120</v>
      </c>
      <c r="K497" s="8">
        <f>VLOOKUP(InputData[[#This Row],[PRODUCT ID]],MasterData[],6,0)</f>
        <v>162</v>
      </c>
      <c r="L497" s="8">
        <f>InputData[[#This Row],[BUYING PRIZE]]*InputData[[#This Row],[QUANTITY]]</f>
        <v>960</v>
      </c>
      <c r="M497" s="8">
        <f>InputData[[#This Row],[SELLING PRICE]]*InputData[[#This Row],[QUANTITY]]*(1-InputData[[#This Row],[DISCOUNT %]])</f>
        <v>1296</v>
      </c>
      <c r="N497" s="7">
        <f>DAY(InputData[[#This Row],[DATE]])</f>
        <v>23</v>
      </c>
      <c r="O497" s="7" t="str">
        <f>TEXT(InputData[[#This Row],[DATE]],"MMM")</f>
        <v>Jan</v>
      </c>
      <c r="P497" s="7">
        <f>YEAR(InputData[[#This Row],[DATE]])</f>
        <v>2022</v>
      </c>
    </row>
    <row r="498" spans="1:16" x14ac:dyDescent="0.25">
      <c r="A498" s="3">
        <v>44727</v>
      </c>
      <c r="B498" s="4" t="s">
        <v>94</v>
      </c>
      <c r="C498" s="5">
        <v>15</v>
      </c>
      <c r="D498" s="5" t="s">
        <v>105</v>
      </c>
      <c r="E498" s="5" t="s">
        <v>106</v>
      </c>
      <c r="F498" s="6">
        <v>0</v>
      </c>
      <c r="G498" s="7" t="str">
        <f>VLOOKUP(InputData[[#This Row],[PRODUCT ID]],MasterData[],2,0)</f>
        <v>Chicken</v>
      </c>
      <c r="H498" s="7" t="str">
        <f>VLOOKUP(InputData[[#This Row],[PRODUCT ID]],MasterData[],3,0)</f>
        <v>Category05</v>
      </c>
      <c r="I498" s="7" t="str">
        <f>VLOOKUP(InputData[[#This Row],[PRODUCT ID]],MasterData[],4,0)</f>
        <v>Ft</v>
      </c>
      <c r="J498" s="7">
        <f>VLOOKUP(InputData[[#This Row],[PRODUCT ID]],MasterData[],5,0)</f>
        <v>120</v>
      </c>
      <c r="K498" s="8">
        <f>VLOOKUP(InputData[[#This Row],[PRODUCT ID]],MasterData[],6,0)</f>
        <v>162</v>
      </c>
      <c r="L498" s="8">
        <f>InputData[[#This Row],[BUYING PRIZE]]*InputData[[#This Row],[QUANTITY]]</f>
        <v>1800</v>
      </c>
      <c r="M498" s="8">
        <f>InputData[[#This Row],[SELLING PRICE]]*InputData[[#This Row],[QUANTITY]]*(1-InputData[[#This Row],[DISCOUNT %]])</f>
        <v>2430</v>
      </c>
      <c r="N498" s="7">
        <f>DAY(InputData[[#This Row],[DATE]])</f>
        <v>15</v>
      </c>
      <c r="O498" s="7" t="str">
        <f>TEXT(InputData[[#This Row],[DATE]],"MMM")</f>
        <v>Jun</v>
      </c>
      <c r="P498" s="7">
        <f>YEAR(InputData[[#This Row],[DATE]])</f>
        <v>2022</v>
      </c>
    </row>
    <row r="499" spans="1:16" x14ac:dyDescent="0.25">
      <c r="A499" s="3">
        <v>44762</v>
      </c>
      <c r="B499" s="4" t="s">
        <v>94</v>
      </c>
      <c r="C499" s="5">
        <v>8</v>
      </c>
      <c r="D499" s="5" t="s">
        <v>105</v>
      </c>
      <c r="E499" s="5" t="s">
        <v>106</v>
      </c>
      <c r="F499" s="6">
        <v>0</v>
      </c>
      <c r="G499" s="7" t="str">
        <f>VLOOKUP(InputData[[#This Row],[PRODUCT ID]],MasterData[],2,0)</f>
        <v>Chicken</v>
      </c>
      <c r="H499" s="7" t="str">
        <f>VLOOKUP(InputData[[#This Row],[PRODUCT ID]],MasterData[],3,0)</f>
        <v>Category05</v>
      </c>
      <c r="I499" s="7" t="str">
        <f>VLOOKUP(InputData[[#This Row],[PRODUCT ID]],MasterData[],4,0)</f>
        <v>Ft</v>
      </c>
      <c r="J499" s="7">
        <f>VLOOKUP(InputData[[#This Row],[PRODUCT ID]],MasterData[],5,0)</f>
        <v>120</v>
      </c>
      <c r="K499" s="8">
        <f>VLOOKUP(InputData[[#This Row],[PRODUCT ID]],MasterData[],6,0)</f>
        <v>162</v>
      </c>
      <c r="L499" s="8">
        <f>InputData[[#This Row],[BUYING PRIZE]]*InputData[[#This Row],[QUANTITY]]</f>
        <v>960</v>
      </c>
      <c r="M499" s="8">
        <f>InputData[[#This Row],[SELLING PRICE]]*InputData[[#This Row],[QUANTITY]]*(1-InputData[[#This Row],[DISCOUNT %]])</f>
        <v>1296</v>
      </c>
      <c r="N499" s="7">
        <f>DAY(InputData[[#This Row],[DATE]])</f>
        <v>20</v>
      </c>
      <c r="O499" s="7" t="str">
        <f>TEXT(InputData[[#This Row],[DATE]],"MMM")</f>
        <v>Jul</v>
      </c>
      <c r="P499" s="7">
        <f>YEAR(InputData[[#This Row],[DATE]])</f>
        <v>2022</v>
      </c>
    </row>
    <row r="500" spans="1:16" x14ac:dyDescent="0.25">
      <c r="A500" s="3">
        <v>44864</v>
      </c>
      <c r="B500" s="4" t="s">
        <v>94</v>
      </c>
      <c r="C500" s="5">
        <v>3</v>
      </c>
      <c r="D500" s="5" t="s">
        <v>108</v>
      </c>
      <c r="E500" s="5" t="s">
        <v>107</v>
      </c>
      <c r="F500" s="6">
        <v>0</v>
      </c>
      <c r="G500" s="7" t="str">
        <f>VLOOKUP(InputData[[#This Row],[PRODUCT ID]],MasterData[],2,0)</f>
        <v>Chicken</v>
      </c>
      <c r="H500" s="7" t="str">
        <f>VLOOKUP(InputData[[#This Row],[PRODUCT ID]],MasterData[],3,0)</f>
        <v>Category05</v>
      </c>
      <c r="I500" s="7" t="str">
        <f>VLOOKUP(InputData[[#This Row],[PRODUCT ID]],MasterData[],4,0)</f>
        <v>Ft</v>
      </c>
      <c r="J500" s="7">
        <f>VLOOKUP(InputData[[#This Row],[PRODUCT ID]],MasterData[],5,0)</f>
        <v>120</v>
      </c>
      <c r="K500" s="8">
        <f>VLOOKUP(InputData[[#This Row],[PRODUCT ID]],MasterData[],6,0)</f>
        <v>162</v>
      </c>
      <c r="L500" s="8">
        <f>InputData[[#This Row],[BUYING PRIZE]]*InputData[[#This Row],[QUANTITY]]</f>
        <v>360</v>
      </c>
      <c r="M500" s="8">
        <f>InputData[[#This Row],[SELLING PRICE]]*InputData[[#This Row],[QUANTITY]]*(1-InputData[[#This Row],[DISCOUNT %]])</f>
        <v>486</v>
      </c>
      <c r="N500" s="7">
        <f>DAY(InputData[[#This Row],[DATE]])</f>
        <v>30</v>
      </c>
      <c r="O500" s="7" t="str">
        <f>TEXT(InputData[[#This Row],[DATE]],"MMM")</f>
        <v>Oct</v>
      </c>
      <c r="P500" s="7">
        <f>YEAR(InputData[[#This Row],[DATE]])</f>
        <v>2022</v>
      </c>
    </row>
    <row r="501" spans="1:16" x14ac:dyDescent="0.25">
      <c r="A501" s="3">
        <v>44871</v>
      </c>
      <c r="B501" s="4" t="s">
        <v>94</v>
      </c>
      <c r="C501" s="5">
        <v>13</v>
      </c>
      <c r="D501" s="5" t="s">
        <v>108</v>
      </c>
      <c r="E501" s="5" t="s">
        <v>107</v>
      </c>
      <c r="F501" s="6">
        <v>0</v>
      </c>
      <c r="G501" s="7" t="str">
        <f>VLOOKUP(InputData[[#This Row],[PRODUCT ID]],MasterData[],2,0)</f>
        <v>Chicken</v>
      </c>
      <c r="H501" s="7" t="str">
        <f>VLOOKUP(InputData[[#This Row],[PRODUCT ID]],MasterData[],3,0)</f>
        <v>Category05</v>
      </c>
      <c r="I501" s="7" t="str">
        <f>VLOOKUP(InputData[[#This Row],[PRODUCT ID]],MasterData[],4,0)</f>
        <v>Ft</v>
      </c>
      <c r="J501" s="7">
        <f>VLOOKUP(InputData[[#This Row],[PRODUCT ID]],MasterData[],5,0)</f>
        <v>120</v>
      </c>
      <c r="K501" s="8">
        <f>VLOOKUP(InputData[[#This Row],[PRODUCT ID]],MasterData[],6,0)</f>
        <v>162</v>
      </c>
      <c r="L501" s="8">
        <f>InputData[[#This Row],[BUYING PRIZE]]*InputData[[#This Row],[QUANTITY]]</f>
        <v>1560</v>
      </c>
      <c r="M501" s="8">
        <f>InputData[[#This Row],[SELLING PRICE]]*InputData[[#This Row],[QUANTITY]]*(1-InputData[[#This Row],[DISCOUNT %]])</f>
        <v>2106</v>
      </c>
      <c r="N501" s="7">
        <f>DAY(InputData[[#This Row],[DATE]])</f>
        <v>6</v>
      </c>
      <c r="O501" s="7" t="str">
        <f>TEXT(InputData[[#This Row],[DATE]],"MMM")</f>
        <v>Nov</v>
      </c>
      <c r="P501" s="7">
        <f>YEAR(InputData[[#This Row],[DATE]])</f>
        <v>2022</v>
      </c>
    </row>
    <row r="502" spans="1:16" x14ac:dyDescent="0.25">
      <c r="A502" s="3">
        <v>44924</v>
      </c>
      <c r="B502" s="4" t="s">
        <v>94</v>
      </c>
      <c r="C502" s="5">
        <v>1</v>
      </c>
      <c r="D502" s="5" t="s">
        <v>105</v>
      </c>
      <c r="E502" s="5" t="s">
        <v>107</v>
      </c>
      <c r="F502" s="6">
        <v>0</v>
      </c>
      <c r="G502" s="7" t="str">
        <f>VLOOKUP(InputData[[#This Row],[PRODUCT ID]],MasterData[],2,0)</f>
        <v>Chicken</v>
      </c>
      <c r="H502" s="7" t="str">
        <f>VLOOKUP(InputData[[#This Row],[PRODUCT ID]],MasterData[],3,0)</f>
        <v>Category05</v>
      </c>
      <c r="I502" s="7" t="str">
        <f>VLOOKUP(InputData[[#This Row],[PRODUCT ID]],MasterData[],4,0)</f>
        <v>Ft</v>
      </c>
      <c r="J502" s="7">
        <f>VLOOKUP(InputData[[#This Row],[PRODUCT ID]],MasterData[],5,0)</f>
        <v>120</v>
      </c>
      <c r="K502" s="8">
        <f>VLOOKUP(InputData[[#This Row],[PRODUCT ID]],MasterData[],6,0)</f>
        <v>162</v>
      </c>
      <c r="L502" s="8">
        <f>InputData[[#This Row],[BUYING PRIZE]]*InputData[[#This Row],[QUANTITY]]</f>
        <v>120</v>
      </c>
      <c r="M502" s="8">
        <f>InputData[[#This Row],[SELLING PRICE]]*InputData[[#This Row],[QUANTITY]]*(1-InputData[[#This Row],[DISCOUNT %]])</f>
        <v>162</v>
      </c>
      <c r="N502" s="7">
        <f>DAY(InputData[[#This Row],[DATE]])</f>
        <v>29</v>
      </c>
      <c r="O502" s="7" t="str">
        <f>TEXT(InputData[[#This Row],[DATE]],"MMM")</f>
        <v>Dec</v>
      </c>
      <c r="P502" s="7">
        <f>YEAR(InputData[[#This Row],[DATE]])</f>
        <v>2022</v>
      </c>
    </row>
    <row r="503" spans="1:16" x14ac:dyDescent="0.25">
      <c r="A503" s="3">
        <v>44232</v>
      </c>
      <c r="B503" s="4" t="s">
        <v>96</v>
      </c>
      <c r="C503" s="5">
        <v>7</v>
      </c>
      <c r="D503" s="5" t="s">
        <v>106</v>
      </c>
      <c r="E503" s="5" t="s">
        <v>107</v>
      </c>
      <c r="F503" s="6">
        <v>0</v>
      </c>
      <c r="G503" s="7" t="str">
        <f>VLOOKUP(InputData[[#This Row],[PRODUCT ID]],MasterData[],2,0)</f>
        <v>Pork</v>
      </c>
      <c r="H503" s="7" t="str">
        <f>VLOOKUP(InputData[[#This Row],[PRODUCT ID]],MasterData[],3,0)</f>
        <v>Category05</v>
      </c>
      <c r="I503" s="7" t="str">
        <f>VLOOKUP(InputData[[#This Row],[PRODUCT ID]],MasterData[],4,0)</f>
        <v>Kg</v>
      </c>
      <c r="J503" s="7">
        <f>VLOOKUP(InputData[[#This Row],[PRODUCT ID]],MasterData[],5,0)</f>
        <v>67</v>
      </c>
      <c r="K503" s="8">
        <f>VLOOKUP(InputData[[#This Row],[PRODUCT ID]],MasterData[],6,0)</f>
        <v>83.08</v>
      </c>
      <c r="L503" s="8">
        <f>InputData[[#This Row],[BUYING PRIZE]]*InputData[[#This Row],[QUANTITY]]</f>
        <v>469</v>
      </c>
      <c r="M503" s="8">
        <f>InputData[[#This Row],[SELLING PRICE]]*InputData[[#This Row],[QUANTITY]]*(1-InputData[[#This Row],[DISCOUNT %]])</f>
        <v>581.55999999999995</v>
      </c>
      <c r="N503" s="7">
        <f>DAY(InputData[[#This Row],[DATE]])</f>
        <v>5</v>
      </c>
      <c r="O503" s="7" t="str">
        <f>TEXT(InputData[[#This Row],[DATE]],"MMM")</f>
        <v>Feb</v>
      </c>
      <c r="P503" s="7">
        <f>YEAR(InputData[[#This Row],[DATE]])</f>
        <v>2021</v>
      </c>
    </row>
    <row r="504" spans="1:16" x14ac:dyDescent="0.25">
      <c r="A504" s="3">
        <v>44232</v>
      </c>
      <c r="B504" s="4" t="s">
        <v>96</v>
      </c>
      <c r="C504" s="5">
        <v>9</v>
      </c>
      <c r="D504" s="5" t="s">
        <v>108</v>
      </c>
      <c r="E504" s="5" t="s">
        <v>107</v>
      </c>
      <c r="F504" s="6">
        <v>0</v>
      </c>
      <c r="G504" s="7" t="str">
        <f>VLOOKUP(InputData[[#This Row],[PRODUCT ID]],MasterData[],2,0)</f>
        <v>Pork</v>
      </c>
      <c r="H504" s="7" t="str">
        <f>VLOOKUP(InputData[[#This Row],[PRODUCT ID]],MasterData[],3,0)</f>
        <v>Category05</v>
      </c>
      <c r="I504" s="7" t="str">
        <f>VLOOKUP(InputData[[#This Row],[PRODUCT ID]],MasterData[],4,0)</f>
        <v>Kg</v>
      </c>
      <c r="J504" s="7">
        <f>VLOOKUP(InputData[[#This Row],[PRODUCT ID]],MasterData[],5,0)</f>
        <v>67</v>
      </c>
      <c r="K504" s="8">
        <f>VLOOKUP(InputData[[#This Row],[PRODUCT ID]],MasterData[],6,0)</f>
        <v>83.08</v>
      </c>
      <c r="L504" s="8">
        <f>InputData[[#This Row],[BUYING PRIZE]]*InputData[[#This Row],[QUANTITY]]</f>
        <v>603</v>
      </c>
      <c r="M504" s="8">
        <f>InputData[[#This Row],[SELLING PRICE]]*InputData[[#This Row],[QUANTITY]]*(1-InputData[[#This Row],[DISCOUNT %]])</f>
        <v>747.72</v>
      </c>
      <c r="N504" s="7">
        <f>DAY(InputData[[#This Row],[DATE]])</f>
        <v>5</v>
      </c>
      <c r="O504" s="7" t="str">
        <f>TEXT(InputData[[#This Row],[DATE]],"MMM")</f>
        <v>Feb</v>
      </c>
      <c r="P504" s="7">
        <f>YEAR(InputData[[#This Row],[DATE]])</f>
        <v>2021</v>
      </c>
    </row>
    <row r="505" spans="1:16" x14ac:dyDescent="0.25">
      <c r="A505" s="3">
        <v>44397</v>
      </c>
      <c r="B505" s="4" t="s">
        <v>96</v>
      </c>
      <c r="C505" s="5">
        <v>5</v>
      </c>
      <c r="D505" s="5" t="s">
        <v>108</v>
      </c>
      <c r="E505" s="5" t="s">
        <v>106</v>
      </c>
      <c r="F505" s="6">
        <v>0</v>
      </c>
      <c r="G505" s="7" t="str">
        <f>VLOOKUP(InputData[[#This Row],[PRODUCT ID]],MasterData[],2,0)</f>
        <v>Pork</v>
      </c>
      <c r="H505" s="7" t="str">
        <f>VLOOKUP(InputData[[#This Row],[PRODUCT ID]],MasterData[],3,0)</f>
        <v>Category05</v>
      </c>
      <c r="I505" s="7" t="str">
        <f>VLOOKUP(InputData[[#This Row],[PRODUCT ID]],MasterData[],4,0)</f>
        <v>Kg</v>
      </c>
      <c r="J505" s="7">
        <f>VLOOKUP(InputData[[#This Row],[PRODUCT ID]],MasterData[],5,0)</f>
        <v>67</v>
      </c>
      <c r="K505" s="8">
        <f>VLOOKUP(InputData[[#This Row],[PRODUCT ID]],MasterData[],6,0)</f>
        <v>83.08</v>
      </c>
      <c r="L505" s="8">
        <f>InputData[[#This Row],[BUYING PRIZE]]*InputData[[#This Row],[QUANTITY]]</f>
        <v>335</v>
      </c>
      <c r="M505" s="8">
        <f>InputData[[#This Row],[SELLING PRICE]]*InputData[[#This Row],[QUANTITY]]*(1-InputData[[#This Row],[DISCOUNT %]])</f>
        <v>415.4</v>
      </c>
      <c r="N505" s="7">
        <f>DAY(InputData[[#This Row],[DATE]])</f>
        <v>20</v>
      </c>
      <c r="O505" s="7" t="str">
        <f>TEXT(InputData[[#This Row],[DATE]],"MMM")</f>
        <v>Jul</v>
      </c>
      <c r="P505" s="7">
        <f>YEAR(InputData[[#This Row],[DATE]])</f>
        <v>2021</v>
      </c>
    </row>
    <row r="506" spans="1:16" x14ac:dyDescent="0.25">
      <c r="A506" s="3">
        <v>44564</v>
      </c>
      <c r="B506" s="4" t="s">
        <v>96</v>
      </c>
      <c r="C506" s="5">
        <v>9</v>
      </c>
      <c r="D506" s="5" t="s">
        <v>108</v>
      </c>
      <c r="E506" s="5" t="s">
        <v>107</v>
      </c>
      <c r="F506" s="6">
        <v>0</v>
      </c>
      <c r="G506" s="7" t="str">
        <f>VLOOKUP(InputData[[#This Row],[PRODUCT ID]],MasterData[],2,0)</f>
        <v>Pork</v>
      </c>
      <c r="H506" s="7" t="str">
        <f>VLOOKUP(InputData[[#This Row],[PRODUCT ID]],MasterData[],3,0)</f>
        <v>Category05</v>
      </c>
      <c r="I506" s="7" t="str">
        <f>VLOOKUP(InputData[[#This Row],[PRODUCT ID]],MasterData[],4,0)</f>
        <v>Kg</v>
      </c>
      <c r="J506" s="7">
        <f>VLOOKUP(InputData[[#This Row],[PRODUCT ID]],MasterData[],5,0)</f>
        <v>67</v>
      </c>
      <c r="K506" s="8">
        <f>VLOOKUP(InputData[[#This Row],[PRODUCT ID]],MasterData[],6,0)</f>
        <v>83.08</v>
      </c>
      <c r="L506" s="8">
        <f>InputData[[#This Row],[BUYING PRIZE]]*InputData[[#This Row],[QUANTITY]]</f>
        <v>603</v>
      </c>
      <c r="M506" s="8">
        <f>InputData[[#This Row],[SELLING PRICE]]*InputData[[#This Row],[QUANTITY]]*(1-InputData[[#This Row],[DISCOUNT %]])</f>
        <v>747.72</v>
      </c>
      <c r="N506" s="7">
        <f>DAY(InputData[[#This Row],[DATE]])</f>
        <v>3</v>
      </c>
      <c r="O506" s="7" t="str">
        <f>TEXT(InputData[[#This Row],[DATE]],"MMM")</f>
        <v>Jan</v>
      </c>
      <c r="P506" s="7">
        <f>YEAR(InputData[[#This Row],[DATE]])</f>
        <v>2022</v>
      </c>
    </row>
    <row r="507" spans="1:16" x14ac:dyDescent="0.25">
      <c r="A507" s="3">
        <v>44738</v>
      </c>
      <c r="B507" s="4" t="s">
        <v>96</v>
      </c>
      <c r="C507" s="5">
        <v>12</v>
      </c>
      <c r="D507" s="5" t="s">
        <v>108</v>
      </c>
      <c r="E507" s="5" t="s">
        <v>106</v>
      </c>
      <c r="F507" s="6">
        <v>0</v>
      </c>
      <c r="G507" s="7" t="str">
        <f>VLOOKUP(InputData[[#This Row],[PRODUCT ID]],MasterData[],2,0)</f>
        <v>Pork</v>
      </c>
      <c r="H507" s="7" t="str">
        <f>VLOOKUP(InputData[[#This Row],[PRODUCT ID]],MasterData[],3,0)</f>
        <v>Category05</v>
      </c>
      <c r="I507" s="7" t="str">
        <f>VLOOKUP(InputData[[#This Row],[PRODUCT ID]],MasterData[],4,0)</f>
        <v>Kg</v>
      </c>
      <c r="J507" s="7">
        <f>VLOOKUP(InputData[[#This Row],[PRODUCT ID]],MasterData[],5,0)</f>
        <v>67</v>
      </c>
      <c r="K507" s="8">
        <f>VLOOKUP(InputData[[#This Row],[PRODUCT ID]],MasterData[],6,0)</f>
        <v>83.08</v>
      </c>
      <c r="L507" s="8">
        <f>InputData[[#This Row],[BUYING PRIZE]]*InputData[[#This Row],[QUANTITY]]</f>
        <v>804</v>
      </c>
      <c r="M507" s="8">
        <f>InputData[[#This Row],[SELLING PRICE]]*InputData[[#This Row],[QUANTITY]]*(1-InputData[[#This Row],[DISCOUNT %]])</f>
        <v>996.96</v>
      </c>
      <c r="N507" s="7">
        <f>DAY(InputData[[#This Row],[DATE]])</f>
        <v>26</v>
      </c>
      <c r="O507" s="7" t="str">
        <f>TEXT(InputData[[#This Row],[DATE]],"MMM")</f>
        <v>Jun</v>
      </c>
      <c r="P507" s="7">
        <f>YEAR(InputData[[#This Row],[DATE]])</f>
        <v>2022</v>
      </c>
    </row>
    <row r="508" spans="1:16" x14ac:dyDescent="0.25">
      <c r="A508" s="3">
        <v>44803</v>
      </c>
      <c r="B508" s="4" t="s">
        <v>96</v>
      </c>
      <c r="C508" s="5">
        <v>6</v>
      </c>
      <c r="D508" s="5" t="s">
        <v>108</v>
      </c>
      <c r="E508" s="5" t="s">
        <v>107</v>
      </c>
      <c r="F508" s="6">
        <v>0</v>
      </c>
      <c r="G508" s="7" t="str">
        <f>VLOOKUP(InputData[[#This Row],[PRODUCT ID]],MasterData[],2,0)</f>
        <v>Pork</v>
      </c>
      <c r="H508" s="7" t="str">
        <f>VLOOKUP(InputData[[#This Row],[PRODUCT ID]],MasterData[],3,0)</f>
        <v>Category05</v>
      </c>
      <c r="I508" s="7" t="str">
        <f>VLOOKUP(InputData[[#This Row],[PRODUCT ID]],MasterData[],4,0)</f>
        <v>Kg</v>
      </c>
      <c r="J508" s="7">
        <f>VLOOKUP(InputData[[#This Row],[PRODUCT ID]],MasterData[],5,0)</f>
        <v>67</v>
      </c>
      <c r="K508" s="8">
        <f>VLOOKUP(InputData[[#This Row],[PRODUCT ID]],MasterData[],6,0)</f>
        <v>83.08</v>
      </c>
      <c r="L508" s="8">
        <f>InputData[[#This Row],[BUYING PRIZE]]*InputData[[#This Row],[QUANTITY]]</f>
        <v>402</v>
      </c>
      <c r="M508" s="8">
        <f>InputData[[#This Row],[SELLING PRICE]]*InputData[[#This Row],[QUANTITY]]*(1-InputData[[#This Row],[DISCOUNT %]])</f>
        <v>498.48</v>
      </c>
      <c r="N508" s="7">
        <f>DAY(InputData[[#This Row],[DATE]])</f>
        <v>30</v>
      </c>
      <c r="O508" s="7" t="str">
        <f>TEXT(InputData[[#This Row],[DATE]],"MMM")</f>
        <v>Aug</v>
      </c>
      <c r="P508" s="7">
        <f>YEAR(InputData[[#This Row],[DATE]])</f>
        <v>2022</v>
      </c>
    </row>
    <row r="509" spans="1:16" x14ac:dyDescent="0.25">
      <c r="A509" s="3">
        <v>44826</v>
      </c>
      <c r="B509" s="4" t="s">
        <v>96</v>
      </c>
      <c r="C509" s="5">
        <v>12</v>
      </c>
      <c r="D509" s="5" t="s">
        <v>106</v>
      </c>
      <c r="E509" s="5" t="s">
        <v>106</v>
      </c>
      <c r="F509" s="6">
        <v>0</v>
      </c>
      <c r="G509" s="7" t="str">
        <f>VLOOKUP(InputData[[#This Row],[PRODUCT ID]],MasterData[],2,0)</f>
        <v>Pork</v>
      </c>
      <c r="H509" s="7" t="str">
        <f>VLOOKUP(InputData[[#This Row],[PRODUCT ID]],MasterData[],3,0)</f>
        <v>Category05</v>
      </c>
      <c r="I509" s="7" t="str">
        <f>VLOOKUP(InputData[[#This Row],[PRODUCT ID]],MasterData[],4,0)</f>
        <v>Kg</v>
      </c>
      <c r="J509" s="7">
        <f>VLOOKUP(InputData[[#This Row],[PRODUCT ID]],MasterData[],5,0)</f>
        <v>67</v>
      </c>
      <c r="K509" s="8">
        <f>VLOOKUP(InputData[[#This Row],[PRODUCT ID]],MasterData[],6,0)</f>
        <v>83.08</v>
      </c>
      <c r="L509" s="8">
        <f>InputData[[#This Row],[BUYING PRIZE]]*InputData[[#This Row],[QUANTITY]]</f>
        <v>804</v>
      </c>
      <c r="M509" s="8">
        <f>InputData[[#This Row],[SELLING PRICE]]*InputData[[#This Row],[QUANTITY]]*(1-InputData[[#This Row],[DISCOUNT %]])</f>
        <v>996.96</v>
      </c>
      <c r="N509" s="7">
        <f>DAY(InputData[[#This Row],[DATE]])</f>
        <v>22</v>
      </c>
      <c r="O509" s="7" t="str">
        <f>TEXT(InputData[[#This Row],[DATE]],"MMM")</f>
        <v>Sep</v>
      </c>
      <c r="P509" s="7">
        <f>YEAR(InputData[[#This Row],[DATE]])</f>
        <v>2022</v>
      </c>
    </row>
    <row r="510" spans="1:16" x14ac:dyDescent="0.25">
      <c r="A510" s="3">
        <v>44871</v>
      </c>
      <c r="B510" s="4" t="s">
        <v>96</v>
      </c>
      <c r="C510" s="5">
        <v>13</v>
      </c>
      <c r="D510" s="5" t="s">
        <v>108</v>
      </c>
      <c r="E510" s="5" t="s">
        <v>107</v>
      </c>
      <c r="F510" s="6">
        <v>0</v>
      </c>
      <c r="G510" s="7" t="str">
        <f>VLOOKUP(InputData[[#This Row],[PRODUCT ID]],MasterData[],2,0)</f>
        <v>Pork</v>
      </c>
      <c r="H510" s="7" t="str">
        <f>VLOOKUP(InputData[[#This Row],[PRODUCT ID]],MasterData[],3,0)</f>
        <v>Category05</v>
      </c>
      <c r="I510" s="7" t="str">
        <f>VLOOKUP(InputData[[#This Row],[PRODUCT ID]],MasterData[],4,0)</f>
        <v>Kg</v>
      </c>
      <c r="J510" s="7">
        <f>VLOOKUP(InputData[[#This Row],[PRODUCT ID]],MasterData[],5,0)</f>
        <v>67</v>
      </c>
      <c r="K510" s="8">
        <f>VLOOKUP(InputData[[#This Row],[PRODUCT ID]],MasterData[],6,0)</f>
        <v>83.08</v>
      </c>
      <c r="L510" s="8">
        <f>InputData[[#This Row],[BUYING PRIZE]]*InputData[[#This Row],[QUANTITY]]</f>
        <v>871</v>
      </c>
      <c r="M510" s="8">
        <f>InputData[[#This Row],[SELLING PRICE]]*InputData[[#This Row],[QUANTITY]]*(1-InputData[[#This Row],[DISCOUNT %]])</f>
        <v>1080.04</v>
      </c>
      <c r="N510" s="7">
        <f>DAY(InputData[[#This Row],[DATE]])</f>
        <v>6</v>
      </c>
      <c r="O510" s="7" t="str">
        <f>TEXT(InputData[[#This Row],[DATE]],"MMM")</f>
        <v>Nov</v>
      </c>
      <c r="P510" s="7">
        <f>YEAR(InputData[[#This Row],[DATE]])</f>
        <v>2022</v>
      </c>
    </row>
    <row r="511" spans="1:16" x14ac:dyDescent="0.25">
      <c r="A511" s="3">
        <v>44214</v>
      </c>
      <c r="B511" s="4" t="s">
        <v>98</v>
      </c>
      <c r="C511" s="5">
        <v>13</v>
      </c>
      <c r="D511" s="5" t="s">
        <v>108</v>
      </c>
      <c r="E511" s="5" t="s">
        <v>106</v>
      </c>
      <c r="F511" s="6">
        <v>0</v>
      </c>
      <c r="G511" s="7" t="str">
        <f>VLOOKUP(InputData[[#This Row],[PRODUCT ID]],MasterData[],2,0)</f>
        <v>Grape</v>
      </c>
      <c r="H511" s="7" t="str">
        <f>VLOOKUP(InputData[[#This Row],[PRODUCT ID]],MasterData[],3,0)</f>
        <v>Category05</v>
      </c>
      <c r="I511" s="7" t="str">
        <f>VLOOKUP(InputData[[#This Row],[PRODUCT ID]],MasterData[],4,0)</f>
        <v>Kg</v>
      </c>
      <c r="J511" s="7">
        <f>VLOOKUP(InputData[[#This Row],[PRODUCT ID]],MasterData[],5,0)</f>
        <v>76</v>
      </c>
      <c r="K511" s="8">
        <f>VLOOKUP(InputData[[#This Row],[PRODUCT ID]],MasterData[],6,0)</f>
        <v>82.08</v>
      </c>
      <c r="L511" s="8">
        <f>InputData[[#This Row],[BUYING PRIZE]]*InputData[[#This Row],[QUANTITY]]</f>
        <v>988</v>
      </c>
      <c r="M511" s="8">
        <f>InputData[[#This Row],[SELLING PRICE]]*InputData[[#This Row],[QUANTITY]]*(1-InputData[[#This Row],[DISCOUNT %]])</f>
        <v>1067.04</v>
      </c>
      <c r="N511" s="7">
        <f>DAY(InputData[[#This Row],[DATE]])</f>
        <v>18</v>
      </c>
      <c r="O511" s="7" t="str">
        <f>TEXT(InputData[[#This Row],[DATE]],"MMM")</f>
        <v>Jan</v>
      </c>
      <c r="P511" s="7">
        <f>YEAR(InputData[[#This Row],[DATE]])</f>
        <v>2021</v>
      </c>
    </row>
    <row r="512" spans="1:16" x14ac:dyDescent="0.25">
      <c r="A512" s="3">
        <v>44222</v>
      </c>
      <c r="B512" s="4" t="s">
        <v>98</v>
      </c>
      <c r="C512" s="5">
        <v>9</v>
      </c>
      <c r="D512" s="5" t="s">
        <v>105</v>
      </c>
      <c r="E512" s="5" t="s">
        <v>107</v>
      </c>
      <c r="F512" s="6">
        <v>0</v>
      </c>
      <c r="G512" s="7" t="str">
        <f>VLOOKUP(InputData[[#This Row],[PRODUCT ID]],MasterData[],2,0)</f>
        <v>Grape</v>
      </c>
      <c r="H512" s="7" t="str">
        <f>VLOOKUP(InputData[[#This Row],[PRODUCT ID]],MasterData[],3,0)</f>
        <v>Category05</v>
      </c>
      <c r="I512" s="7" t="str">
        <f>VLOOKUP(InputData[[#This Row],[PRODUCT ID]],MasterData[],4,0)</f>
        <v>Kg</v>
      </c>
      <c r="J512" s="7">
        <f>VLOOKUP(InputData[[#This Row],[PRODUCT ID]],MasterData[],5,0)</f>
        <v>76</v>
      </c>
      <c r="K512" s="8">
        <f>VLOOKUP(InputData[[#This Row],[PRODUCT ID]],MasterData[],6,0)</f>
        <v>82.08</v>
      </c>
      <c r="L512" s="8">
        <f>InputData[[#This Row],[BUYING PRIZE]]*InputData[[#This Row],[QUANTITY]]</f>
        <v>684</v>
      </c>
      <c r="M512" s="8">
        <f>InputData[[#This Row],[SELLING PRICE]]*InputData[[#This Row],[QUANTITY]]*(1-InputData[[#This Row],[DISCOUNT %]])</f>
        <v>738.72</v>
      </c>
      <c r="N512" s="7">
        <f>DAY(InputData[[#This Row],[DATE]])</f>
        <v>26</v>
      </c>
      <c r="O512" s="7" t="str">
        <f>TEXT(InputData[[#This Row],[DATE]],"MMM")</f>
        <v>Jan</v>
      </c>
      <c r="P512" s="7">
        <f>YEAR(InputData[[#This Row],[DATE]])</f>
        <v>2021</v>
      </c>
    </row>
    <row r="513" spans="1:16" x14ac:dyDescent="0.25">
      <c r="A513" s="3">
        <v>44263</v>
      </c>
      <c r="B513" s="4" t="s">
        <v>98</v>
      </c>
      <c r="C513" s="5">
        <v>9</v>
      </c>
      <c r="D513" s="5" t="s">
        <v>106</v>
      </c>
      <c r="E513" s="5" t="s">
        <v>106</v>
      </c>
      <c r="F513" s="6">
        <v>0</v>
      </c>
      <c r="G513" s="7" t="str">
        <f>VLOOKUP(InputData[[#This Row],[PRODUCT ID]],MasterData[],2,0)</f>
        <v>Grape</v>
      </c>
      <c r="H513" s="7" t="str">
        <f>VLOOKUP(InputData[[#This Row],[PRODUCT ID]],MasterData[],3,0)</f>
        <v>Category05</v>
      </c>
      <c r="I513" s="7" t="str">
        <f>VLOOKUP(InputData[[#This Row],[PRODUCT ID]],MasterData[],4,0)</f>
        <v>Kg</v>
      </c>
      <c r="J513" s="7">
        <f>VLOOKUP(InputData[[#This Row],[PRODUCT ID]],MasterData[],5,0)</f>
        <v>76</v>
      </c>
      <c r="K513" s="8">
        <f>VLOOKUP(InputData[[#This Row],[PRODUCT ID]],MasterData[],6,0)</f>
        <v>82.08</v>
      </c>
      <c r="L513" s="8">
        <f>InputData[[#This Row],[BUYING PRIZE]]*InputData[[#This Row],[QUANTITY]]</f>
        <v>684</v>
      </c>
      <c r="M513" s="8">
        <f>InputData[[#This Row],[SELLING PRICE]]*InputData[[#This Row],[QUANTITY]]*(1-InputData[[#This Row],[DISCOUNT %]])</f>
        <v>738.72</v>
      </c>
      <c r="N513" s="7">
        <f>DAY(InputData[[#This Row],[DATE]])</f>
        <v>8</v>
      </c>
      <c r="O513" s="7" t="str">
        <f>TEXT(InputData[[#This Row],[DATE]],"MMM")</f>
        <v>Mar</v>
      </c>
      <c r="P513" s="7">
        <f>YEAR(InputData[[#This Row],[DATE]])</f>
        <v>2021</v>
      </c>
    </row>
    <row r="514" spans="1:16" x14ac:dyDescent="0.25">
      <c r="A514" s="3">
        <v>44406</v>
      </c>
      <c r="B514" s="4" t="s">
        <v>98</v>
      </c>
      <c r="C514" s="5">
        <v>15</v>
      </c>
      <c r="D514" s="5" t="s">
        <v>106</v>
      </c>
      <c r="E514" s="5" t="s">
        <v>107</v>
      </c>
      <c r="F514" s="6">
        <v>0</v>
      </c>
      <c r="G514" s="7" t="str">
        <f>VLOOKUP(InputData[[#This Row],[PRODUCT ID]],MasterData[],2,0)</f>
        <v>Grape</v>
      </c>
      <c r="H514" s="7" t="str">
        <f>VLOOKUP(InputData[[#This Row],[PRODUCT ID]],MasterData[],3,0)</f>
        <v>Category05</v>
      </c>
      <c r="I514" s="7" t="str">
        <f>VLOOKUP(InputData[[#This Row],[PRODUCT ID]],MasterData[],4,0)</f>
        <v>Kg</v>
      </c>
      <c r="J514" s="7">
        <f>VLOOKUP(InputData[[#This Row],[PRODUCT ID]],MasterData[],5,0)</f>
        <v>76</v>
      </c>
      <c r="K514" s="8">
        <f>VLOOKUP(InputData[[#This Row],[PRODUCT ID]],MasterData[],6,0)</f>
        <v>82.08</v>
      </c>
      <c r="L514" s="8">
        <f>InputData[[#This Row],[BUYING PRIZE]]*InputData[[#This Row],[QUANTITY]]</f>
        <v>1140</v>
      </c>
      <c r="M514" s="8">
        <f>InputData[[#This Row],[SELLING PRICE]]*InputData[[#This Row],[QUANTITY]]*(1-InputData[[#This Row],[DISCOUNT %]])</f>
        <v>1231.2</v>
      </c>
      <c r="N514" s="7">
        <f>DAY(InputData[[#This Row],[DATE]])</f>
        <v>29</v>
      </c>
      <c r="O514" s="7" t="str">
        <f>TEXT(InputData[[#This Row],[DATE]],"MMM")</f>
        <v>Jul</v>
      </c>
      <c r="P514" s="7">
        <f>YEAR(InputData[[#This Row],[DATE]])</f>
        <v>2021</v>
      </c>
    </row>
    <row r="515" spans="1:16" x14ac:dyDescent="0.25">
      <c r="A515" s="3">
        <v>44418</v>
      </c>
      <c r="B515" s="4" t="s">
        <v>98</v>
      </c>
      <c r="C515" s="5">
        <v>10</v>
      </c>
      <c r="D515" s="5" t="s">
        <v>106</v>
      </c>
      <c r="E515" s="5" t="s">
        <v>107</v>
      </c>
      <c r="F515" s="6">
        <v>0</v>
      </c>
      <c r="G515" s="7" t="str">
        <f>VLOOKUP(InputData[[#This Row],[PRODUCT ID]],MasterData[],2,0)</f>
        <v>Grape</v>
      </c>
      <c r="H515" s="7" t="str">
        <f>VLOOKUP(InputData[[#This Row],[PRODUCT ID]],MasterData[],3,0)</f>
        <v>Category05</v>
      </c>
      <c r="I515" s="7" t="str">
        <f>VLOOKUP(InputData[[#This Row],[PRODUCT ID]],MasterData[],4,0)</f>
        <v>Kg</v>
      </c>
      <c r="J515" s="7">
        <f>VLOOKUP(InputData[[#This Row],[PRODUCT ID]],MasterData[],5,0)</f>
        <v>76</v>
      </c>
      <c r="K515" s="8">
        <f>VLOOKUP(InputData[[#This Row],[PRODUCT ID]],MasterData[],6,0)</f>
        <v>82.08</v>
      </c>
      <c r="L515" s="8">
        <f>InputData[[#This Row],[BUYING PRIZE]]*InputData[[#This Row],[QUANTITY]]</f>
        <v>760</v>
      </c>
      <c r="M515" s="8">
        <f>InputData[[#This Row],[SELLING PRICE]]*InputData[[#This Row],[QUANTITY]]*(1-InputData[[#This Row],[DISCOUNT %]])</f>
        <v>820.8</v>
      </c>
      <c r="N515" s="7">
        <f>DAY(InputData[[#This Row],[DATE]])</f>
        <v>10</v>
      </c>
      <c r="O515" s="7" t="str">
        <f>TEXT(InputData[[#This Row],[DATE]],"MMM")</f>
        <v>Aug</v>
      </c>
      <c r="P515" s="7">
        <f>YEAR(InputData[[#This Row],[DATE]])</f>
        <v>2021</v>
      </c>
    </row>
    <row r="516" spans="1:16" x14ac:dyDescent="0.25">
      <c r="A516" s="3">
        <v>44448</v>
      </c>
      <c r="B516" s="4" t="s">
        <v>98</v>
      </c>
      <c r="C516" s="5">
        <v>4</v>
      </c>
      <c r="D516" s="5" t="s">
        <v>108</v>
      </c>
      <c r="E516" s="5" t="s">
        <v>106</v>
      </c>
      <c r="F516" s="6">
        <v>0</v>
      </c>
      <c r="G516" s="7" t="str">
        <f>VLOOKUP(InputData[[#This Row],[PRODUCT ID]],MasterData[],2,0)</f>
        <v>Grape</v>
      </c>
      <c r="H516" s="7" t="str">
        <f>VLOOKUP(InputData[[#This Row],[PRODUCT ID]],MasterData[],3,0)</f>
        <v>Category05</v>
      </c>
      <c r="I516" s="7" t="str">
        <f>VLOOKUP(InputData[[#This Row],[PRODUCT ID]],MasterData[],4,0)</f>
        <v>Kg</v>
      </c>
      <c r="J516" s="7">
        <f>VLOOKUP(InputData[[#This Row],[PRODUCT ID]],MasterData[],5,0)</f>
        <v>76</v>
      </c>
      <c r="K516" s="8">
        <f>VLOOKUP(InputData[[#This Row],[PRODUCT ID]],MasterData[],6,0)</f>
        <v>82.08</v>
      </c>
      <c r="L516" s="8">
        <f>InputData[[#This Row],[BUYING PRIZE]]*InputData[[#This Row],[QUANTITY]]</f>
        <v>304</v>
      </c>
      <c r="M516" s="8">
        <f>InputData[[#This Row],[SELLING PRICE]]*InputData[[#This Row],[QUANTITY]]*(1-InputData[[#This Row],[DISCOUNT %]])</f>
        <v>328.32</v>
      </c>
      <c r="N516" s="7">
        <f>DAY(InputData[[#This Row],[DATE]])</f>
        <v>9</v>
      </c>
      <c r="O516" s="7" t="str">
        <f>TEXT(InputData[[#This Row],[DATE]],"MMM")</f>
        <v>Sep</v>
      </c>
      <c r="P516" s="7">
        <f>YEAR(InputData[[#This Row],[DATE]])</f>
        <v>2021</v>
      </c>
    </row>
    <row r="517" spans="1:16" x14ac:dyDescent="0.25">
      <c r="A517" s="3">
        <v>44494</v>
      </c>
      <c r="B517" s="4" t="s">
        <v>98</v>
      </c>
      <c r="C517" s="5">
        <v>9</v>
      </c>
      <c r="D517" s="5" t="s">
        <v>106</v>
      </c>
      <c r="E517" s="5" t="s">
        <v>107</v>
      </c>
      <c r="F517" s="6">
        <v>0</v>
      </c>
      <c r="G517" s="7" t="str">
        <f>VLOOKUP(InputData[[#This Row],[PRODUCT ID]],MasterData[],2,0)</f>
        <v>Grape</v>
      </c>
      <c r="H517" s="7" t="str">
        <f>VLOOKUP(InputData[[#This Row],[PRODUCT ID]],MasterData[],3,0)</f>
        <v>Category05</v>
      </c>
      <c r="I517" s="7" t="str">
        <f>VLOOKUP(InputData[[#This Row],[PRODUCT ID]],MasterData[],4,0)</f>
        <v>Kg</v>
      </c>
      <c r="J517" s="7">
        <f>VLOOKUP(InputData[[#This Row],[PRODUCT ID]],MasterData[],5,0)</f>
        <v>76</v>
      </c>
      <c r="K517" s="8">
        <f>VLOOKUP(InputData[[#This Row],[PRODUCT ID]],MasterData[],6,0)</f>
        <v>82.08</v>
      </c>
      <c r="L517" s="8">
        <f>InputData[[#This Row],[BUYING PRIZE]]*InputData[[#This Row],[QUANTITY]]</f>
        <v>684</v>
      </c>
      <c r="M517" s="8">
        <f>InputData[[#This Row],[SELLING PRICE]]*InputData[[#This Row],[QUANTITY]]*(1-InputData[[#This Row],[DISCOUNT %]])</f>
        <v>738.72</v>
      </c>
      <c r="N517" s="7">
        <f>DAY(InputData[[#This Row],[DATE]])</f>
        <v>25</v>
      </c>
      <c r="O517" s="7" t="str">
        <f>TEXT(InputData[[#This Row],[DATE]],"MMM")</f>
        <v>Oct</v>
      </c>
      <c r="P517" s="7">
        <f>YEAR(InputData[[#This Row],[DATE]])</f>
        <v>2021</v>
      </c>
    </row>
    <row r="518" spans="1:16" x14ac:dyDescent="0.25">
      <c r="A518" s="3">
        <v>44538</v>
      </c>
      <c r="B518" s="4" t="s">
        <v>98</v>
      </c>
      <c r="C518" s="5">
        <v>14</v>
      </c>
      <c r="D518" s="5" t="s">
        <v>108</v>
      </c>
      <c r="E518" s="5" t="s">
        <v>106</v>
      </c>
      <c r="F518" s="6">
        <v>0</v>
      </c>
      <c r="G518" s="7" t="str">
        <f>VLOOKUP(InputData[[#This Row],[PRODUCT ID]],MasterData[],2,0)</f>
        <v>Grape</v>
      </c>
      <c r="H518" s="7" t="str">
        <f>VLOOKUP(InputData[[#This Row],[PRODUCT ID]],MasterData[],3,0)</f>
        <v>Category05</v>
      </c>
      <c r="I518" s="7" t="str">
        <f>VLOOKUP(InputData[[#This Row],[PRODUCT ID]],MasterData[],4,0)</f>
        <v>Kg</v>
      </c>
      <c r="J518" s="7">
        <f>VLOOKUP(InputData[[#This Row],[PRODUCT ID]],MasterData[],5,0)</f>
        <v>76</v>
      </c>
      <c r="K518" s="8">
        <f>VLOOKUP(InputData[[#This Row],[PRODUCT ID]],MasterData[],6,0)</f>
        <v>82.08</v>
      </c>
      <c r="L518" s="8">
        <f>InputData[[#This Row],[BUYING PRIZE]]*InputData[[#This Row],[QUANTITY]]</f>
        <v>1064</v>
      </c>
      <c r="M518" s="8">
        <f>InputData[[#This Row],[SELLING PRICE]]*InputData[[#This Row],[QUANTITY]]*(1-InputData[[#This Row],[DISCOUNT %]])</f>
        <v>1149.1199999999999</v>
      </c>
      <c r="N518" s="7">
        <f>DAY(InputData[[#This Row],[DATE]])</f>
        <v>8</v>
      </c>
      <c r="O518" s="7" t="str">
        <f>TEXT(InputData[[#This Row],[DATE]],"MMM")</f>
        <v>Dec</v>
      </c>
      <c r="P518" s="7">
        <f>YEAR(InputData[[#This Row],[DATE]])</f>
        <v>2021</v>
      </c>
    </row>
    <row r="519" spans="1:16" x14ac:dyDescent="0.25">
      <c r="A519" s="3">
        <v>44628</v>
      </c>
      <c r="B519" s="4" t="s">
        <v>98</v>
      </c>
      <c r="C519" s="5">
        <v>6</v>
      </c>
      <c r="D519" s="5" t="s">
        <v>108</v>
      </c>
      <c r="E519" s="5" t="s">
        <v>106</v>
      </c>
      <c r="F519" s="6">
        <v>0</v>
      </c>
      <c r="G519" s="7" t="str">
        <f>VLOOKUP(InputData[[#This Row],[PRODUCT ID]],MasterData[],2,0)</f>
        <v>Grape</v>
      </c>
      <c r="H519" s="7" t="str">
        <f>VLOOKUP(InputData[[#This Row],[PRODUCT ID]],MasterData[],3,0)</f>
        <v>Category05</v>
      </c>
      <c r="I519" s="7" t="str">
        <f>VLOOKUP(InputData[[#This Row],[PRODUCT ID]],MasterData[],4,0)</f>
        <v>Kg</v>
      </c>
      <c r="J519" s="7">
        <f>VLOOKUP(InputData[[#This Row],[PRODUCT ID]],MasterData[],5,0)</f>
        <v>76</v>
      </c>
      <c r="K519" s="8">
        <f>VLOOKUP(InputData[[#This Row],[PRODUCT ID]],MasterData[],6,0)</f>
        <v>82.08</v>
      </c>
      <c r="L519" s="8">
        <f>InputData[[#This Row],[BUYING PRIZE]]*InputData[[#This Row],[QUANTITY]]</f>
        <v>456</v>
      </c>
      <c r="M519" s="8">
        <f>InputData[[#This Row],[SELLING PRICE]]*InputData[[#This Row],[QUANTITY]]*(1-InputData[[#This Row],[DISCOUNT %]])</f>
        <v>492.48</v>
      </c>
      <c r="N519" s="7">
        <f>DAY(InputData[[#This Row],[DATE]])</f>
        <v>8</v>
      </c>
      <c r="O519" s="7" t="str">
        <f>TEXT(InputData[[#This Row],[DATE]],"MMM")</f>
        <v>Mar</v>
      </c>
      <c r="P519" s="7">
        <f>YEAR(InputData[[#This Row],[DATE]])</f>
        <v>2022</v>
      </c>
    </row>
    <row r="520" spans="1:16" x14ac:dyDescent="0.25">
      <c r="A520" s="3">
        <v>44674</v>
      </c>
      <c r="B520" s="4" t="s">
        <v>98</v>
      </c>
      <c r="C520" s="5">
        <v>15</v>
      </c>
      <c r="D520" s="5" t="s">
        <v>106</v>
      </c>
      <c r="E520" s="5" t="s">
        <v>106</v>
      </c>
      <c r="F520" s="6">
        <v>0</v>
      </c>
      <c r="G520" s="7" t="str">
        <f>VLOOKUP(InputData[[#This Row],[PRODUCT ID]],MasterData[],2,0)</f>
        <v>Grape</v>
      </c>
      <c r="H520" s="7" t="str">
        <f>VLOOKUP(InputData[[#This Row],[PRODUCT ID]],MasterData[],3,0)</f>
        <v>Category05</v>
      </c>
      <c r="I520" s="7" t="str">
        <f>VLOOKUP(InputData[[#This Row],[PRODUCT ID]],MasterData[],4,0)</f>
        <v>Kg</v>
      </c>
      <c r="J520" s="7">
        <f>VLOOKUP(InputData[[#This Row],[PRODUCT ID]],MasterData[],5,0)</f>
        <v>76</v>
      </c>
      <c r="K520" s="8">
        <f>VLOOKUP(InputData[[#This Row],[PRODUCT ID]],MasterData[],6,0)</f>
        <v>82.08</v>
      </c>
      <c r="L520" s="8">
        <f>InputData[[#This Row],[BUYING PRIZE]]*InputData[[#This Row],[QUANTITY]]</f>
        <v>1140</v>
      </c>
      <c r="M520" s="8">
        <f>InputData[[#This Row],[SELLING PRICE]]*InputData[[#This Row],[QUANTITY]]*(1-InputData[[#This Row],[DISCOUNT %]])</f>
        <v>1231.2</v>
      </c>
      <c r="N520" s="7">
        <f>DAY(InputData[[#This Row],[DATE]])</f>
        <v>23</v>
      </c>
      <c r="O520" s="7" t="str">
        <f>TEXT(InputData[[#This Row],[DATE]],"MMM")</f>
        <v>Apr</v>
      </c>
      <c r="P520" s="7">
        <f>YEAR(InputData[[#This Row],[DATE]])</f>
        <v>2022</v>
      </c>
    </row>
    <row r="521" spans="1:16" x14ac:dyDescent="0.25">
      <c r="A521" s="3">
        <v>44701</v>
      </c>
      <c r="B521" s="4" t="s">
        <v>98</v>
      </c>
      <c r="C521" s="5">
        <v>15</v>
      </c>
      <c r="D521" s="5" t="s">
        <v>106</v>
      </c>
      <c r="E521" s="5" t="s">
        <v>107</v>
      </c>
      <c r="F521" s="6">
        <v>0</v>
      </c>
      <c r="G521" s="7" t="str">
        <f>VLOOKUP(InputData[[#This Row],[PRODUCT ID]],MasterData[],2,0)</f>
        <v>Grape</v>
      </c>
      <c r="H521" s="7" t="str">
        <f>VLOOKUP(InputData[[#This Row],[PRODUCT ID]],MasterData[],3,0)</f>
        <v>Category05</v>
      </c>
      <c r="I521" s="7" t="str">
        <f>VLOOKUP(InputData[[#This Row],[PRODUCT ID]],MasterData[],4,0)</f>
        <v>Kg</v>
      </c>
      <c r="J521" s="7">
        <f>VLOOKUP(InputData[[#This Row],[PRODUCT ID]],MasterData[],5,0)</f>
        <v>76</v>
      </c>
      <c r="K521" s="8">
        <f>VLOOKUP(InputData[[#This Row],[PRODUCT ID]],MasterData[],6,0)</f>
        <v>82.08</v>
      </c>
      <c r="L521" s="8">
        <f>InputData[[#This Row],[BUYING PRIZE]]*InputData[[#This Row],[QUANTITY]]</f>
        <v>1140</v>
      </c>
      <c r="M521" s="8">
        <f>InputData[[#This Row],[SELLING PRICE]]*InputData[[#This Row],[QUANTITY]]*(1-InputData[[#This Row],[DISCOUNT %]])</f>
        <v>1231.2</v>
      </c>
      <c r="N521" s="7">
        <f>DAY(InputData[[#This Row],[DATE]])</f>
        <v>20</v>
      </c>
      <c r="O521" s="7" t="str">
        <f>TEXT(InputData[[#This Row],[DATE]],"MMM")</f>
        <v>May</v>
      </c>
      <c r="P521" s="7">
        <f>YEAR(InputData[[#This Row],[DATE]])</f>
        <v>2022</v>
      </c>
    </row>
    <row r="522" spans="1:16" x14ac:dyDescent="0.25">
      <c r="A522" s="3">
        <v>44711</v>
      </c>
      <c r="B522" s="4" t="s">
        <v>98</v>
      </c>
      <c r="C522" s="5">
        <v>9</v>
      </c>
      <c r="D522" s="5" t="s">
        <v>108</v>
      </c>
      <c r="E522" s="5" t="s">
        <v>106</v>
      </c>
      <c r="F522" s="6">
        <v>0</v>
      </c>
      <c r="G522" s="7" t="str">
        <f>VLOOKUP(InputData[[#This Row],[PRODUCT ID]],MasterData[],2,0)</f>
        <v>Grape</v>
      </c>
      <c r="H522" s="7" t="str">
        <f>VLOOKUP(InputData[[#This Row],[PRODUCT ID]],MasterData[],3,0)</f>
        <v>Category05</v>
      </c>
      <c r="I522" s="7" t="str">
        <f>VLOOKUP(InputData[[#This Row],[PRODUCT ID]],MasterData[],4,0)</f>
        <v>Kg</v>
      </c>
      <c r="J522" s="7">
        <f>VLOOKUP(InputData[[#This Row],[PRODUCT ID]],MasterData[],5,0)</f>
        <v>76</v>
      </c>
      <c r="K522" s="8">
        <f>VLOOKUP(InputData[[#This Row],[PRODUCT ID]],MasterData[],6,0)</f>
        <v>82.08</v>
      </c>
      <c r="L522" s="8">
        <f>InputData[[#This Row],[BUYING PRIZE]]*InputData[[#This Row],[QUANTITY]]</f>
        <v>684</v>
      </c>
      <c r="M522" s="8">
        <f>InputData[[#This Row],[SELLING PRICE]]*InputData[[#This Row],[QUANTITY]]*(1-InputData[[#This Row],[DISCOUNT %]])</f>
        <v>738.72</v>
      </c>
      <c r="N522" s="7">
        <f>DAY(InputData[[#This Row],[DATE]])</f>
        <v>30</v>
      </c>
      <c r="O522" s="7" t="str">
        <f>TEXT(InputData[[#This Row],[DATE]],"MMM")</f>
        <v>May</v>
      </c>
      <c r="P522" s="7">
        <f>YEAR(InputData[[#This Row],[DATE]])</f>
        <v>2022</v>
      </c>
    </row>
    <row r="523" spans="1:16" x14ac:dyDescent="0.25">
      <c r="A523" s="3">
        <v>44767</v>
      </c>
      <c r="B523" s="4" t="s">
        <v>98</v>
      </c>
      <c r="C523" s="5">
        <v>2</v>
      </c>
      <c r="D523" s="5" t="s">
        <v>108</v>
      </c>
      <c r="E523" s="5" t="s">
        <v>107</v>
      </c>
      <c r="F523" s="6">
        <v>0</v>
      </c>
      <c r="G523" s="7" t="str">
        <f>VLOOKUP(InputData[[#This Row],[PRODUCT ID]],MasterData[],2,0)</f>
        <v>Grape</v>
      </c>
      <c r="H523" s="7" t="str">
        <f>VLOOKUP(InputData[[#This Row],[PRODUCT ID]],MasterData[],3,0)</f>
        <v>Category05</v>
      </c>
      <c r="I523" s="7" t="str">
        <f>VLOOKUP(InputData[[#This Row],[PRODUCT ID]],MasterData[],4,0)</f>
        <v>Kg</v>
      </c>
      <c r="J523" s="7">
        <f>VLOOKUP(InputData[[#This Row],[PRODUCT ID]],MasterData[],5,0)</f>
        <v>76</v>
      </c>
      <c r="K523" s="8">
        <f>VLOOKUP(InputData[[#This Row],[PRODUCT ID]],MasterData[],6,0)</f>
        <v>82.08</v>
      </c>
      <c r="L523" s="8">
        <f>InputData[[#This Row],[BUYING PRIZE]]*InputData[[#This Row],[QUANTITY]]</f>
        <v>152</v>
      </c>
      <c r="M523" s="8">
        <f>InputData[[#This Row],[SELLING PRICE]]*InputData[[#This Row],[QUANTITY]]*(1-InputData[[#This Row],[DISCOUNT %]])</f>
        <v>164.16</v>
      </c>
      <c r="N523" s="7">
        <f>DAY(InputData[[#This Row],[DATE]])</f>
        <v>25</v>
      </c>
      <c r="O523" s="7" t="str">
        <f>TEXT(InputData[[#This Row],[DATE]],"MMM")</f>
        <v>Jul</v>
      </c>
      <c r="P523" s="7">
        <f>YEAR(InputData[[#This Row],[DATE]])</f>
        <v>2022</v>
      </c>
    </row>
    <row r="524" spans="1:16" x14ac:dyDescent="0.25">
      <c r="A524" s="3">
        <v>44796</v>
      </c>
      <c r="B524" s="4" t="s">
        <v>98</v>
      </c>
      <c r="C524" s="5">
        <v>11</v>
      </c>
      <c r="D524" s="5" t="s">
        <v>106</v>
      </c>
      <c r="E524" s="5" t="s">
        <v>106</v>
      </c>
      <c r="F524" s="6">
        <v>0</v>
      </c>
      <c r="G524" s="7" t="str">
        <f>VLOOKUP(InputData[[#This Row],[PRODUCT ID]],MasterData[],2,0)</f>
        <v>Grape</v>
      </c>
      <c r="H524" s="7" t="str">
        <f>VLOOKUP(InputData[[#This Row],[PRODUCT ID]],MasterData[],3,0)</f>
        <v>Category05</v>
      </c>
      <c r="I524" s="7" t="str">
        <f>VLOOKUP(InputData[[#This Row],[PRODUCT ID]],MasterData[],4,0)</f>
        <v>Kg</v>
      </c>
      <c r="J524" s="7">
        <f>VLOOKUP(InputData[[#This Row],[PRODUCT ID]],MasterData[],5,0)</f>
        <v>76</v>
      </c>
      <c r="K524" s="8">
        <f>VLOOKUP(InputData[[#This Row],[PRODUCT ID]],MasterData[],6,0)</f>
        <v>82.08</v>
      </c>
      <c r="L524" s="8">
        <f>InputData[[#This Row],[BUYING PRIZE]]*InputData[[#This Row],[QUANTITY]]</f>
        <v>836</v>
      </c>
      <c r="M524" s="8">
        <f>InputData[[#This Row],[SELLING PRICE]]*InputData[[#This Row],[QUANTITY]]*(1-InputData[[#This Row],[DISCOUNT %]])</f>
        <v>902.88</v>
      </c>
      <c r="N524" s="7">
        <f>DAY(InputData[[#This Row],[DATE]])</f>
        <v>23</v>
      </c>
      <c r="O524" s="7" t="str">
        <f>TEXT(InputData[[#This Row],[DATE]],"MMM")</f>
        <v>Aug</v>
      </c>
      <c r="P524" s="7">
        <f>YEAR(InputData[[#This Row],[DATE]])</f>
        <v>2022</v>
      </c>
    </row>
    <row r="525" spans="1:16" x14ac:dyDescent="0.25">
      <c r="A525" s="3">
        <v>44831</v>
      </c>
      <c r="B525" s="4" t="s">
        <v>98</v>
      </c>
      <c r="C525" s="5">
        <v>9</v>
      </c>
      <c r="D525" s="5" t="s">
        <v>108</v>
      </c>
      <c r="E525" s="5" t="s">
        <v>107</v>
      </c>
      <c r="F525" s="6">
        <v>0</v>
      </c>
      <c r="G525" s="7" t="str">
        <f>VLOOKUP(InputData[[#This Row],[PRODUCT ID]],MasterData[],2,0)</f>
        <v>Grape</v>
      </c>
      <c r="H525" s="7" t="str">
        <f>VLOOKUP(InputData[[#This Row],[PRODUCT ID]],MasterData[],3,0)</f>
        <v>Category05</v>
      </c>
      <c r="I525" s="7" t="str">
        <f>VLOOKUP(InputData[[#This Row],[PRODUCT ID]],MasterData[],4,0)</f>
        <v>Kg</v>
      </c>
      <c r="J525" s="7">
        <f>VLOOKUP(InputData[[#This Row],[PRODUCT ID]],MasterData[],5,0)</f>
        <v>76</v>
      </c>
      <c r="K525" s="8">
        <f>VLOOKUP(InputData[[#This Row],[PRODUCT ID]],MasterData[],6,0)</f>
        <v>82.08</v>
      </c>
      <c r="L525" s="8">
        <f>InputData[[#This Row],[BUYING PRIZE]]*InputData[[#This Row],[QUANTITY]]</f>
        <v>684</v>
      </c>
      <c r="M525" s="8">
        <f>InputData[[#This Row],[SELLING PRICE]]*InputData[[#This Row],[QUANTITY]]*(1-InputData[[#This Row],[DISCOUNT %]])</f>
        <v>738.72</v>
      </c>
      <c r="N525" s="7">
        <f>DAY(InputData[[#This Row],[DATE]])</f>
        <v>27</v>
      </c>
      <c r="O525" s="7" t="str">
        <f>TEXT(InputData[[#This Row],[DATE]],"MMM")</f>
        <v>Sep</v>
      </c>
      <c r="P525" s="7">
        <f>YEAR(InputData[[#This Row],[DATE]])</f>
        <v>2022</v>
      </c>
    </row>
    <row r="526" spans="1:16" x14ac:dyDescent="0.25">
      <c r="A526" s="3">
        <v>44844</v>
      </c>
      <c r="B526" s="4" t="s">
        <v>98</v>
      </c>
      <c r="C526" s="5">
        <v>12</v>
      </c>
      <c r="D526" s="5" t="s">
        <v>106</v>
      </c>
      <c r="E526" s="5" t="s">
        <v>106</v>
      </c>
      <c r="F526" s="6">
        <v>0</v>
      </c>
      <c r="G526" s="7" t="str">
        <f>VLOOKUP(InputData[[#This Row],[PRODUCT ID]],MasterData[],2,0)</f>
        <v>Grape</v>
      </c>
      <c r="H526" s="7" t="str">
        <f>VLOOKUP(InputData[[#This Row],[PRODUCT ID]],MasterData[],3,0)</f>
        <v>Category05</v>
      </c>
      <c r="I526" s="7" t="str">
        <f>VLOOKUP(InputData[[#This Row],[PRODUCT ID]],MasterData[],4,0)</f>
        <v>Kg</v>
      </c>
      <c r="J526" s="7">
        <f>VLOOKUP(InputData[[#This Row],[PRODUCT ID]],MasterData[],5,0)</f>
        <v>76</v>
      </c>
      <c r="K526" s="8">
        <f>VLOOKUP(InputData[[#This Row],[PRODUCT ID]],MasterData[],6,0)</f>
        <v>82.08</v>
      </c>
      <c r="L526" s="8">
        <f>InputData[[#This Row],[BUYING PRIZE]]*InputData[[#This Row],[QUANTITY]]</f>
        <v>912</v>
      </c>
      <c r="M526" s="8">
        <f>InputData[[#This Row],[SELLING PRICE]]*InputData[[#This Row],[QUANTITY]]*(1-InputData[[#This Row],[DISCOUNT %]])</f>
        <v>984.96</v>
      </c>
      <c r="N526" s="7">
        <f>DAY(InputData[[#This Row],[DATE]])</f>
        <v>10</v>
      </c>
      <c r="O526" s="7" t="str">
        <f>TEXT(InputData[[#This Row],[DATE]],"MMM")</f>
        <v>Oct</v>
      </c>
      <c r="P526" s="7">
        <f>YEAR(InputData[[#This Row],[DATE]])</f>
        <v>2022</v>
      </c>
    </row>
    <row r="527" spans="1:16" x14ac:dyDescent="0.25">
      <c r="A527" s="3">
        <v>44848</v>
      </c>
      <c r="B527" s="4" t="s">
        <v>98</v>
      </c>
      <c r="C527" s="5">
        <v>15</v>
      </c>
      <c r="D527" s="5" t="s">
        <v>105</v>
      </c>
      <c r="E527" s="5" t="s">
        <v>106</v>
      </c>
      <c r="F527" s="6">
        <v>0</v>
      </c>
      <c r="G527" s="7" t="str">
        <f>VLOOKUP(InputData[[#This Row],[PRODUCT ID]],MasterData[],2,0)</f>
        <v>Grape</v>
      </c>
      <c r="H527" s="7" t="str">
        <f>VLOOKUP(InputData[[#This Row],[PRODUCT ID]],MasterData[],3,0)</f>
        <v>Category05</v>
      </c>
      <c r="I527" s="7" t="str">
        <f>VLOOKUP(InputData[[#This Row],[PRODUCT ID]],MasterData[],4,0)</f>
        <v>Kg</v>
      </c>
      <c r="J527" s="7">
        <f>VLOOKUP(InputData[[#This Row],[PRODUCT ID]],MasterData[],5,0)</f>
        <v>76</v>
      </c>
      <c r="K527" s="8">
        <f>VLOOKUP(InputData[[#This Row],[PRODUCT ID]],MasterData[],6,0)</f>
        <v>82.08</v>
      </c>
      <c r="L527" s="8">
        <f>InputData[[#This Row],[BUYING PRIZE]]*InputData[[#This Row],[QUANTITY]]</f>
        <v>1140</v>
      </c>
      <c r="M527" s="8">
        <f>InputData[[#This Row],[SELLING PRICE]]*InputData[[#This Row],[QUANTITY]]*(1-InputData[[#This Row],[DISCOUNT %]])</f>
        <v>1231.2</v>
      </c>
      <c r="N527" s="7">
        <f>DAY(InputData[[#This Row],[DATE]])</f>
        <v>14</v>
      </c>
      <c r="O527" s="7" t="str">
        <f>TEXT(InputData[[#This Row],[DATE]],"MMM")</f>
        <v>Oct</v>
      </c>
      <c r="P527" s="7">
        <f>YEAR(InputData[[#This Row],[DATE]])</f>
        <v>2022</v>
      </c>
    </row>
    <row r="528" spans="1:16" x14ac:dyDescent="0.25">
      <c r="A528" s="3">
        <v>44899</v>
      </c>
      <c r="B528" s="4" t="s">
        <v>98</v>
      </c>
      <c r="C528" s="5">
        <v>15</v>
      </c>
      <c r="D528" s="5" t="s">
        <v>108</v>
      </c>
      <c r="E528" s="5" t="s">
        <v>107</v>
      </c>
      <c r="F528" s="6">
        <v>0</v>
      </c>
      <c r="G528" s="7" t="str">
        <f>VLOOKUP(InputData[[#This Row],[PRODUCT ID]],MasterData[],2,0)</f>
        <v>Grape</v>
      </c>
      <c r="H528" s="7" t="str">
        <f>VLOOKUP(InputData[[#This Row],[PRODUCT ID]],MasterData[],3,0)</f>
        <v>Category05</v>
      </c>
      <c r="I528" s="7" t="str">
        <f>VLOOKUP(InputData[[#This Row],[PRODUCT ID]],MasterData[],4,0)</f>
        <v>Kg</v>
      </c>
      <c r="J528" s="7">
        <f>VLOOKUP(InputData[[#This Row],[PRODUCT ID]],MasterData[],5,0)</f>
        <v>76</v>
      </c>
      <c r="K528" s="8">
        <f>VLOOKUP(InputData[[#This Row],[PRODUCT ID]],MasterData[],6,0)</f>
        <v>82.08</v>
      </c>
      <c r="L528" s="8">
        <f>InputData[[#This Row],[BUYING PRIZE]]*InputData[[#This Row],[QUANTITY]]</f>
        <v>1140</v>
      </c>
      <c r="M528" s="8">
        <f>InputData[[#This Row],[SELLING PRICE]]*InputData[[#This Row],[QUANTITY]]*(1-InputData[[#This Row],[DISCOUNT %]])</f>
        <v>1231.2</v>
      </c>
      <c r="N528" s="7">
        <f>DAY(InputData[[#This Row],[DATE]])</f>
        <v>4</v>
      </c>
      <c r="O528" s="7" t="str">
        <f>TEXT(InputData[[#This Row],[DATE]],"MMM")</f>
        <v>Dec</v>
      </c>
      <c r="P528" s="7">
        <f>YEAR(InputData[[#This Row],[DATE]])</f>
        <v>2022</v>
      </c>
    </row>
    <row r="529" spans="1:16" x14ac:dyDescent="0.25">
      <c r="A529" s="3">
        <v>44914</v>
      </c>
      <c r="B529" s="4" t="s">
        <v>98</v>
      </c>
      <c r="C529" s="5">
        <v>7</v>
      </c>
      <c r="D529" s="5" t="s">
        <v>108</v>
      </c>
      <c r="E529" s="5" t="s">
        <v>106</v>
      </c>
      <c r="F529" s="6">
        <v>0</v>
      </c>
      <c r="G529" s="7" t="str">
        <f>VLOOKUP(InputData[[#This Row],[PRODUCT ID]],MasterData[],2,0)</f>
        <v>Grape</v>
      </c>
      <c r="H529" s="7" t="str">
        <f>VLOOKUP(InputData[[#This Row],[PRODUCT ID]],MasterData[],3,0)</f>
        <v>Category05</v>
      </c>
      <c r="I529" s="7" t="str">
        <f>VLOOKUP(InputData[[#This Row],[PRODUCT ID]],MasterData[],4,0)</f>
        <v>Kg</v>
      </c>
      <c r="J529" s="7">
        <f>VLOOKUP(InputData[[#This Row],[PRODUCT ID]],MasterData[],5,0)</f>
        <v>76</v>
      </c>
      <c r="K529" s="8">
        <f>VLOOKUP(InputData[[#This Row],[PRODUCT ID]],MasterData[],6,0)</f>
        <v>82.08</v>
      </c>
      <c r="L529" s="8">
        <f>InputData[[#This Row],[BUYING PRIZE]]*InputData[[#This Row],[QUANTITY]]</f>
        <v>532</v>
      </c>
      <c r="M529" s="8">
        <f>InputData[[#This Row],[SELLING PRICE]]*InputData[[#This Row],[QUANTITY]]*(1-InputData[[#This Row],[DISCOUNT %]])</f>
        <v>574.55999999999995</v>
      </c>
      <c r="N529" s="7">
        <f>DAY(InputData[[#This Row],[DATE]])</f>
        <v>19</v>
      </c>
      <c r="O529" s="7" t="str">
        <f>TEXT(InputData[[#This Row],[DATE]],"MMM")</f>
        <v>Dec</v>
      </c>
      <c r="P529" s="7">
        <f>YEAR(InputData[[#This Row],[DATE]])</f>
        <v>2022</v>
      </c>
    </row>
    <row r="530" spans="1:16" x14ac:dyDescent="0.25">
      <c r="A530" s="9">
        <v>44915</v>
      </c>
      <c r="B530" s="4" t="s">
        <v>112</v>
      </c>
      <c r="C530" s="5">
        <v>2</v>
      </c>
      <c r="D530" s="5" t="s">
        <v>108</v>
      </c>
      <c r="E530" s="5" t="s">
        <v>107</v>
      </c>
      <c r="F530" s="6">
        <v>0</v>
      </c>
      <c r="G530" s="7" t="str">
        <f>VLOOKUP(InputData[[#This Row],[PRODUCT ID]],MasterData[],2,0)</f>
        <v>orange</v>
      </c>
      <c r="H530" s="7" t="str">
        <f>VLOOKUP(InputData[[#This Row],[PRODUCT ID]],MasterData[],3,0)</f>
        <v>Category05</v>
      </c>
      <c r="I530" s="7" t="str">
        <f>VLOOKUP(InputData[[#This Row],[PRODUCT ID]],MasterData[],4,0)</f>
        <v>Kg</v>
      </c>
      <c r="J530" s="7">
        <f>VLOOKUP(InputData[[#This Row],[PRODUCT ID]],MasterData[],5,0)</f>
        <v>50</v>
      </c>
      <c r="K530" s="8">
        <f>VLOOKUP(InputData[[#This Row],[PRODUCT ID]],MasterData[],6,0)</f>
        <v>62</v>
      </c>
      <c r="L530" s="8">
        <f>InputData[[#This Row],[BUYING PRIZE]]*InputData[[#This Row],[QUANTITY]]</f>
        <v>100</v>
      </c>
      <c r="M530" s="8">
        <f>InputData[[#This Row],[SELLING PRICE]]*InputData[[#This Row],[QUANTITY]]*(1-InputData[[#This Row],[DISCOUNT %]])</f>
        <v>124</v>
      </c>
      <c r="N530" s="7">
        <f>DAY(InputData[[#This Row],[DATE]])</f>
        <v>20</v>
      </c>
      <c r="O530" s="7" t="str">
        <f>TEXT(InputData[[#This Row],[DATE]],"MMM")</f>
        <v>Dec</v>
      </c>
      <c r="P530" s="7">
        <f>YEAR(InputData[[#This Row],[DATE]])</f>
        <v>2022</v>
      </c>
    </row>
    <row r="531" spans="1:16" x14ac:dyDescent="0.25">
      <c r="A531" s="9" t="s">
        <v>192</v>
      </c>
      <c r="B531" s="4" t="s">
        <v>189</v>
      </c>
      <c r="C531" s="5">
        <v>6</v>
      </c>
      <c r="D531" s="5" t="s">
        <v>106</v>
      </c>
      <c r="E531" s="5" t="s">
        <v>106</v>
      </c>
      <c r="F531" s="6">
        <v>0</v>
      </c>
      <c r="G531" s="7" t="str">
        <f>VLOOKUP(InputData[[#This Row],[PRODUCT ID]],MasterData[],2,0)</f>
        <v>Pineapple</v>
      </c>
      <c r="H531" s="7" t="str">
        <f>VLOOKUP(InputData[[#This Row],[PRODUCT ID]],MasterData[],3,0)</f>
        <v>Category05</v>
      </c>
      <c r="I531" s="7" t="str">
        <f>VLOOKUP(InputData[[#This Row],[PRODUCT ID]],MasterData[],4,0)</f>
        <v>Kg</v>
      </c>
      <c r="J531" s="7">
        <f>VLOOKUP(InputData[[#This Row],[PRODUCT ID]],MasterData[],5,0)</f>
        <v>80</v>
      </c>
      <c r="K531" s="8">
        <f>VLOOKUP(InputData[[#This Row],[PRODUCT ID]],MasterData[],6,0)</f>
        <v>75</v>
      </c>
      <c r="L531" s="8">
        <f>InputData[[#This Row],[BUYING PRIZE]]*InputData[[#This Row],[QUANTITY]]</f>
        <v>480</v>
      </c>
      <c r="M531" s="8">
        <f>InputData[[#This Row],[SELLING PRICE]]*InputData[[#This Row],[QUANTITY]]*(1-InputData[[#This Row],[DISCOUNT %]])</f>
        <v>450</v>
      </c>
      <c r="N531" s="7" t="e">
        <f>DAY(InputData[[#This Row],[DATE]])</f>
        <v>#VALUE!</v>
      </c>
      <c r="O531" s="7" t="str">
        <f>TEXT(InputData[[#This Row],[DATE]],"MMM")</f>
        <v>21/12/2022</v>
      </c>
      <c r="P531" s="7" t="e">
        <f>YEAR(InputData[[#This Row],[DATE]])</f>
        <v>#VALUE!</v>
      </c>
    </row>
  </sheetData>
  <phoneticPr fontId="3" type="noConversion"/>
  <dataValidations count="3">
    <dataValidation type="list" allowBlank="1" showInputMessage="1" showErrorMessage="1" sqref="E2:E531" xr:uid="{E70A61AB-A580-4E7A-B899-FA41582346B0}">
      <formula1>"Online,Cash"</formula1>
    </dataValidation>
    <dataValidation type="whole" allowBlank="1" showInputMessage="1" showErrorMessage="1" sqref="C2:C531" xr:uid="{74FC4239-C815-4304-B7C1-8D0942A55F70}">
      <formula1>1</formula1>
      <formula2>1000</formula2>
    </dataValidation>
    <dataValidation type="list" allowBlank="1" showInputMessage="1" sqref="D2:D531"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Data</vt:lpstr>
      <vt:lpstr>PIVOT TABLE</vt:lpstr>
      <vt:lpstr>DASHBOARD</vt:lpstr>
      <vt:lpstr>Input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Praveen</cp:lastModifiedBy>
  <dcterms:created xsi:type="dcterms:W3CDTF">2021-11-03T11:40:02Z</dcterms:created>
  <dcterms:modified xsi:type="dcterms:W3CDTF">2025-11-03T07:07:25Z</dcterms:modified>
</cp:coreProperties>
</file>